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dfonline-my.sharepoint.com/personal/laure_sallaberry_edf_fr/Documents/EDF LAURE/"/>
    </mc:Choice>
  </mc:AlternateContent>
  <xr:revisionPtr revIDLastSave="0" documentId="8_{17AC8283-245A-4437-84BC-54F97D29BC52}" xr6:coauthVersionLast="47" xr6:coauthVersionMax="47" xr10:uidLastSave="{00000000-0000-0000-0000-000000000000}"/>
  <bookViews>
    <workbookView xWindow="-110" yWindow="-110" windowWidth="19420" windowHeight="11500" firstSheet="2" activeTab="3" xr2:uid="{F2816C84-88AA-4A07-935A-FF85CC6F8709}"/>
  </bookViews>
  <sheets>
    <sheet name="Table" sheetId="5" state="hidden" r:id="rId1"/>
    <sheet name="ACCUEIL" sheetId="3" state="hidden" r:id="rId2"/>
    <sheet name="SOWEE" sheetId="6" r:id="rId3"/>
    <sheet name="ELEC" sheetId="1" r:id="rId4"/>
    <sheet name="GAZ" sheetId="4" r:id="rId5"/>
  </sheets>
  <externalReferences>
    <externalReference r:id="rId6"/>
  </externalReferences>
  <definedNames>
    <definedName name="Table" localSheetId="4">[1]Table!$A$1:$E$20</definedName>
    <definedName name="Table">Table!$A$1:$E$20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F40" i="4"/>
  <c r="J37" i="4"/>
  <c r="F32" i="4"/>
  <c r="F41" i="1"/>
  <c r="G26" i="1" s="1"/>
  <c r="N40" i="4"/>
  <c r="P33" i="1"/>
  <c r="L30" i="1" s="1"/>
  <c r="L42" i="1"/>
  <c r="C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E4" i="5" l="1"/>
  <c r="E3" i="5"/>
  <c r="E5" i="5" l="1"/>
  <c r="E6" i="5" l="1"/>
  <c r="E7" i="5" l="1"/>
  <c r="E8" i="5" l="1"/>
  <c r="E9" i="5" l="1"/>
  <c r="E10" i="5" l="1"/>
  <c r="E11" i="5" l="1"/>
  <c r="E12" i="5" l="1"/>
  <c r="E13" i="5" l="1"/>
  <c r="E14" i="5" l="1"/>
  <c r="E15" i="5" l="1"/>
  <c r="E16" i="5" l="1"/>
  <c r="E17" i="5" l="1"/>
  <c r="E18" i="5" l="1"/>
  <c r="E19" i="5" l="1"/>
  <c r="N31" i="4"/>
  <c r="E43" i="4"/>
  <c r="L32" i="4"/>
  <c r="E20" i="5" l="1"/>
  <c r="E44" i="4"/>
  <c r="E45" i="4" s="1"/>
  <c r="L41" i="1"/>
  <c r="Q25" i="1" s="1"/>
  <c r="L43" i="1" l="1"/>
  <c r="N26" i="1" s="1"/>
</calcChain>
</file>

<file path=xl/sharedStrings.xml><?xml version="1.0" encoding="utf-8"?>
<sst xmlns="http://schemas.openxmlformats.org/spreadsheetml/2006/main" count="70" uniqueCount="51">
  <si>
    <r>
      <t xml:space="preserve">Thermostat connecté </t>
    </r>
    <r>
      <rPr>
        <b/>
        <sz val="20"/>
        <color rgb="FF002060"/>
        <rFont val="Calibri"/>
        <family val="2"/>
      </rPr>
      <t>Élec</t>
    </r>
  </si>
  <si>
    <t>Thermostat connecté Gaz</t>
  </si>
  <si>
    <t>Nombre de radiateurs à équiper</t>
  </si>
  <si>
    <t>Offre avec effacement (hors Zen Flex)</t>
  </si>
  <si>
    <t>Oui</t>
  </si>
  <si>
    <t>Proposition Commerciale</t>
  </si>
  <si>
    <t xml:space="preserve">Je vous propose de compléter votre contrat avec le thermostat connecté Sowee by EDF . Ce service optionnel est le complément idéal à votre offre d'énergie. </t>
  </si>
  <si>
    <t xml:space="preserve">Grâce à ce thermostat connecté  vous allez pouvoir réaliser jusqu'à 15% d'économies avec un pilotage pièce par pièce de vos radiateurs électriques à distance et lorsque c’est nécessaire. </t>
  </si>
  <si>
    <t>Vous gagnerez en confort et vous pourrez gérer votre budget au plus près.</t>
  </si>
  <si>
    <t xml:space="preserve">Une installation rapide et gratuite par un professionnel. Avec la programmation de votre planning de chauffe au degré près vous pourrez économiser sur votre facture jusqu'à </t>
  </si>
  <si>
    <t xml:space="preserve">Déduction faite de la location du thermostat à </t>
  </si>
  <si>
    <r>
      <t xml:space="preserve"> </t>
    </r>
    <r>
      <rPr>
        <b/>
        <sz val="16"/>
        <color theme="1"/>
        <rFont val="Calibri"/>
        <family val="2"/>
        <scheme val="minor"/>
      </rPr>
      <t>c'est pour vous une économie annuelle qui pourrait atteindre</t>
    </r>
  </si>
  <si>
    <t>Qu'en pensez-vous ?</t>
  </si>
  <si>
    <t>Economie potentielle sur facture</t>
  </si>
  <si>
    <t xml:space="preserve">Location thermostat SOWEE </t>
  </si>
  <si>
    <t xml:space="preserve">Bénéfice net potentiel </t>
  </si>
  <si>
    <t>Abonnement SOWEE (mensuel)</t>
  </si>
  <si>
    <t>Effacement</t>
  </si>
  <si>
    <t>Non</t>
  </si>
  <si>
    <t>Pour un résultat optimum il est essentiel que vous soyez acteur de votre consommation avec la mise en place :</t>
  </si>
  <si>
    <r>
      <t xml:space="preserve">D'un </t>
    </r>
    <r>
      <rPr>
        <b/>
        <sz val="16"/>
        <color theme="1"/>
        <rFont val="Calibri"/>
        <family val="2"/>
        <scheme val="minor"/>
      </rPr>
      <t>pilotage </t>
    </r>
    <r>
      <rPr>
        <sz val="16"/>
        <color theme="1"/>
        <rFont val="Calibri"/>
        <family val="2"/>
        <scheme val="minor"/>
      </rPr>
      <t>par le budget : vous fixez vous même le montant maximum que vous voulez dépenser par mois.</t>
    </r>
  </si>
  <si>
    <r>
      <rPr>
        <b/>
        <sz val="16"/>
        <color theme="1"/>
        <rFont val="Calibri"/>
        <family val="2"/>
        <scheme val="minor"/>
      </rPr>
      <t xml:space="preserve">Anticipation de chauffe </t>
    </r>
    <r>
      <rPr>
        <sz val="16"/>
        <color theme="1"/>
        <rFont val="Calibri"/>
        <family val="2"/>
        <scheme val="minor"/>
      </rPr>
      <t>: le chauffage démarre par anticipation pour atteindre la température souhaitée à l’heure prévue dans votre programme.</t>
    </r>
  </si>
  <si>
    <r>
      <t>De la détection automatique de vos absences </t>
    </r>
    <r>
      <rPr>
        <sz val="16"/>
        <color theme="1"/>
        <rFont val="Calibri"/>
        <family val="2"/>
        <scheme val="minor"/>
      </rPr>
      <t>: Vous recevez un message pour vous inviter à baisser votre chauffage.</t>
    </r>
  </si>
  <si>
    <r>
      <t>De la détection de vos fenêtres ouvertes</t>
    </r>
    <r>
      <rPr>
        <sz val="16"/>
        <color theme="1"/>
        <rFont val="Calibri"/>
        <family val="2"/>
        <scheme val="minor"/>
      </rPr>
      <t> : Votre chauffage est automatiquement coupé</t>
    </r>
  </si>
  <si>
    <t xml:space="preserve">Je vous propose de compléter votre contrat avec le thermostat connecté Sowee by EDF. Ce service optionnel est le complément idéal à votre offre d'énergie. </t>
  </si>
  <si>
    <r>
      <rPr>
        <b/>
        <sz val="16"/>
        <color theme="1"/>
        <rFont val="Calibri"/>
        <family val="2"/>
        <scheme val="minor"/>
      </rPr>
      <t>Grâce à ce thermostat connecté, vous allez pouvoir réaliser jusqu'à 15% d'économies en pilotant le chauffage de votre logement à distance et lorsque c’est nécessaire.</t>
    </r>
    <r>
      <rPr>
        <sz val="16"/>
        <color theme="1"/>
        <rFont val="Calibri"/>
        <family val="2"/>
        <scheme val="minor"/>
      </rPr>
      <t xml:space="preserve">  </t>
    </r>
  </si>
  <si>
    <t>Vous gagnerez en confort et pourrez gérer votre budget au plus près.</t>
  </si>
  <si>
    <t>Nombre de radiateurs</t>
  </si>
  <si>
    <t>Mensuel sans effacement</t>
  </si>
  <si>
    <t>Annuel sans effacement</t>
  </si>
  <si>
    <t>Mensuel avec effacement</t>
  </si>
  <si>
    <t>Annuel avec effacement</t>
  </si>
  <si>
    <t xml:space="preserve">Prime effacement </t>
  </si>
  <si>
    <t>Mensualisation sans la solution SOWEE</t>
  </si>
  <si>
    <t>Mensualisation avec la solution SOWEE</t>
  </si>
  <si>
    <t>avec l’utilisation du thermostat.</t>
  </si>
  <si>
    <t xml:space="preserve">Si vous le souhaitez je peux appliquer une baisse de 10% sur votre mensualité dès à présent qui serait de </t>
  </si>
  <si>
    <t xml:space="preserve">Calculette Thermostat </t>
  </si>
  <si>
    <t>Thermostat connecté Élec</t>
  </si>
  <si>
    <t xml:space="preserve">Thermostat connecté Gaz </t>
  </si>
  <si>
    <t xml:space="preserve">  En Mobilité : en même temps que la Brique Conquête </t>
  </si>
  <si>
    <t xml:space="preserve">  En Vie Courante : en même temps que le parcours VA </t>
  </si>
  <si>
    <t xml:space="preserve">        En Vie Courante : en même temps que le parcours VA </t>
  </si>
  <si>
    <t xml:space="preserve"> Si vous le souhaitez je peux appliquer une baisse de 10% sur votre mensualité dès à présent qui serait de </t>
  </si>
  <si>
    <t>L'AJUSTEMENT DE LA MENSUALITE N'EST POSSIBLE QU'EN MOBILITE : Cette proposition de mensualisation ajustée à -10 % reste un prévisionnel et fera l'objet d'une régularisation annuelle.</t>
  </si>
  <si>
    <t>pour un pilotage avancé, plus précis et personnalisé</t>
  </si>
  <si>
    <t xml:space="preserve">Déduction faite de la location de votre équipement à </t>
  </si>
  <si>
    <t xml:space="preserve"> par mois, c'est pour vous une économie annuelle qui pourrait atteindre</t>
  </si>
  <si>
    <t>Montant annuel de la facture d'électricité (hors AD - PF)</t>
  </si>
  <si>
    <t>Nombre de têtes thermostatiques connectées souhaité</t>
  </si>
  <si>
    <t>Montant annuel de la facture de gaz (hors AD - 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</si>
</sst>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\ &quot;€&quot;\ &quot;par an.&quot;"/>
    <numFmt numFmtId="166" formatCode="#,##0.00\ &quot;€&quot;\ &quot;mensuelle&quot;"/>
  </numFmts>
  <fonts count="2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2060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9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 vertical="top"/>
    </xf>
    <xf numFmtId="0" fontId="2" fillId="0" borderId="4" xfId="0" applyFont="1" applyBorder="1"/>
    <xf numFmtId="0" fontId="1" fillId="0" borderId="6" xfId="0" applyFont="1" applyBorder="1"/>
    <xf numFmtId="0" fontId="5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left" vertical="top"/>
    </xf>
    <xf numFmtId="0" fontId="2" fillId="0" borderId="9" xfId="0" applyFont="1" applyBorder="1"/>
    <xf numFmtId="164" fontId="8" fillId="4" borderId="0" xfId="0" applyNumberFormat="1" applyFont="1" applyFill="1"/>
    <xf numFmtId="0" fontId="9" fillId="0" borderId="0" xfId="0" applyFon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top" indent="2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horizontal="left" vertical="top" indent="2"/>
    </xf>
    <xf numFmtId="0" fontId="12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top" indent="2"/>
    </xf>
    <xf numFmtId="0" fontId="1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 indent="2"/>
    </xf>
    <xf numFmtId="0" fontId="17" fillId="0" borderId="0" xfId="0" applyFont="1" applyAlignment="1">
      <alignment horizontal="left" indent="2"/>
    </xf>
    <xf numFmtId="0" fontId="17" fillId="0" borderId="0" xfId="0" applyFont="1" applyAlignment="1">
      <alignment horizontal="left" vertical="top" indent="2"/>
    </xf>
    <xf numFmtId="0" fontId="18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6" xfId="0" applyFont="1" applyBorder="1"/>
    <xf numFmtId="0" fontId="0" fillId="0" borderId="6" xfId="0" applyBorder="1"/>
    <xf numFmtId="0" fontId="10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2" fillId="0" borderId="2" xfId="0" applyFont="1" applyBorder="1"/>
    <xf numFmtId="0" fontId="1" fillId="0" borderId="5" xfId="0" applyFont="1" applyBorder="1"/>
    <xf numFmtId="165" fontId="4" fillId="3" borderId="0" xfId="0" applyNumberFormat="1" applyFont="1" applyFill="1" applyAlignment="1">
      <alignment horizontal="center"/>
    </xf>
    <xf numFmtId="0" fontId="2" fillId="0" borderId="7" xfId="0" applyFont="1" applyBorder="1"/>
    <xf numFmtId="0" fontId="5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19" fillId="0" borderId="0" xfId="0" applyFont="1" applyAlignment="1">
      <alignment vertical="top"/>
    </xf>
    <xf numFmtId="0" fontId="6" fillId="0" borderId="0" xfId="0" applyFont="1"/>
    <xf numFmtId="0" fontId="0" fillId="5" borderId="0" xfId="0" applyFill="1"/>
    <xf numFmtId="0" fontId="0" fillId="5" borderId="16" xfId="0" applyFill="1" applyBorder="1"/>
    <xf numFmtId="0" fontId="13" fillId="5" borderId="0" xfId="0" applyFont="1" applyFill="1" applyAlignment="1">
      <alignment vertical="center" wrapText="1"/>
    </xf>
    <xf numFmtId="0" fontId="24" fillId="5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24" fillId="0" borderId="0" xfId="0" applyFont="1" applyAlignment="1">
      <alignment horizontal="right"/>
    </xf>
    <xf numFmtId="0" fontId="1" fillId="5" borderId="0" xfId="0" applyFont="1" applyFill="1" applyAlignment="1">
      <alignment horizontal="left" vertical="top"/>
    </xf>
    <xf numFmtId="164" fontId="1" fillId="5" borderId="0" xfId="0" applyNumberFormat="1" applyFont="1" applyFill="1" applyAlignment="1" applyProtection="1">
      <alignment horizontal="center" vertical="center"/>
      <protection locked="0"/>
    </xf>
    <xf numFmtId="0" fontId="24" fillId="5" borderId="0" xfId="0" applyFont="1" applyFill="1" applyAlignment="1">
      <alignment horizontal="right"/>
    </xf>
    <xf numFmtId="0" fontId="2" fillId="5" borderId="0" xfId="0" applyFont="1" applyFill="1"/>
    <xf numFmtId="0" fontId="1" fillId="0" borderId="0" xfId="0" applyFont="1" applyAlignment="1">
      <alignment wrapText="1"/>
    </xf>
    <xf numFmtId="164" fontId="6" fillId="3" borderId="0" xfId="0" applyNumberFormat="1" applyFont="1" applyFill="1" applyAlignment="1">
      <alignment horizontal="center" vertical="top"/>
    </xf>
    <xf numFmtId="164" fontId="4" fillId="5" borderId="0" xfId="0" applyNumberFormat="1" applyFont="1" applyFill="1" applyAlignment="1">
      <alignment horizontal="center"/>
    </xf>
    <xf numFmtId="0" fontId="21" fillId="0" borderId="0" xfId="0" applyFont="1"/>
    <xf numFmtId="0" fontId="19" fillId="0" borderId="0" xfId="0" applyFont="1"/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8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16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/>
    </xf>
    <xf numFmtId="2" fontId="24" fillId="0" borderId="0" xfId="0" applyNumberFormat="1" applyFont="1" applyAlignment="1">
      <alignment horizontal="center"/>
    </xf>
    <xf numFmtId="0" fontId="27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164" fontId="4" fillId="3" borderId="7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166" fontId="6" fillId="3" borderId="0" xfId="0" applyNumberFormat="1" applyFont="1" applyFill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4" fillId="5" borderId="0" xfId="0" applyFont="1" applyFill="1" applyAlignment="1">
      <alignment horizontal="center"/>
    </xf>
    <xf numFmtId="0" fontId="24" fillId="0" borderId="15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164" fontId="6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GAZ!A1"/><Relationship Id="rId2" Type="http://schemas.openxmlformats.org/officeDocument/2006/relationships/image" Target="../media/image1.png"/><Relationship Id="rId1" Type="http://schemas.openxmlformats.org/officeDocument/2006/relationships/hyperlink" Target="#ELEC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GAZ!A1"/><Relationship Id="rId2" Type="http://schemas.openxmlformats.org/officeDocument/2006/relationships/image" Target="../media/image1.png"/><Relationship Id="rId1" Type="http://schemas.openxmlformats.org/officeDocument/2006/relationships/hyperlink" Target="#ELEC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</xdr:row>
      <xdr:rowOff>63500</xdr:rowOff>
    </xdr:from>
    <xdr:to>
      <xdr:col>5</xdr:col>
      <xdr:colOff>0</xdr:colOff>
      <xdr:row>16</xdr:row>
      <xdr:rowOff>101649</xdr:rowOff>
    </xdr:to>
    <xdr:pic>
      <xdr:nvPicPr>
        <xdr:cNvPr id="6" name="Imag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F1ACE-30A2-402A-6EED-B8AD66B81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r="77251"/>
        <a:stretch/>
      </xdr:blipFill>
      <xdr:spPr>
        <a:xfrm>
          <a:off x="1701801" y="2051050"/>
          <a:ext cx="2552699" cy="95889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7</xdr:col>
      <xdr:colOff>844551</xdr:colOff>
      <xdr:row>11</xdr:row>
      <xdr:rowOff>63500</xdr:rowOff>
    </xdr:from>
    <xdr:to>
      <xdr:col>11</xdr:col>
      <xdr:colOff>0</xdr:colOff>
      <xdr:row>16</xdr:row>
      <xdr:rowOff>101649</xdr:rowOff>
    </xdr:to>
    <xdr:pic>
      <xdr:nvPicPr>
        <xdr:cNvPr id="7" name="Imag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D5C1EA-73C5-4081-8D63-9A09BE0E7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l="50988" r="26320"/>
        <a:stretch/>
      </xdr:blipFill>
      <xdr:spPr>
        <a:xfrm>
          <a:off x="6800851" y="2051050"/>
          <a:ext cx="2546349" cy="95889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5</xdr:col>
      <xdr:colOff>476250</xdr:colOff>
      <xdr:row>5</xdr:row>
      <xdr:rowOff>85726</xdr:rowOff>
    </xdr:from>
    <xdr:to>
      <xdr:col>7</xdr:col>
      <xdr:colOff>476250</xdr:colOff>
      <xdr:row>9</xdr:row>
      <xdr:rowOff>149315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013044D-DD19-41FB-8756-2FE2102E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0" y="990601"/>
          <a:ext cx="1714500" cy="787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11</xdr:row>
      <xdr:rowOff>63500</xdr:rowOff>
    </xdr:from>
    <xdr:to>
      <xdr:col>4</xdr:col>
      <xdr:colOff>137160</xdr:colOff>
      <xdr:row>16</xdr:row>
      <xdr:rowOff>101649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F1AE9-46D3-42DA-8320-10AF3E6F0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r="77251"/>
        <a:stretch/>
      </xdr:blipFill>
      <xdr:spPr>
        <a:xfrm>
          <a:off x="1676401" y="2075180"/>
          <a:ext cx="2514599" cy="95254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6</xdr:col>
      <xdr:colOff>844551</xdr:colOff>
      <xdr:row>11</xdr:row>
      <xdr:rowOff>63500</xdr:rowOff>
    </xdr:from>
    <xdr:to>
      <xdr:col>10</xdr:col>
      <xdr:colOff>137160</xdr:colOff>
      <xdr:row>16</xdr:row>
      <xdr:rowOff>101649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93CEDC-D827-41CA-A24A-57CFC0438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l="50988" r="26320"/>
        <a:stretch/>
      </xdr:blipFill>
      <xdr:spPr>
        <a:xfrm>
          <a:off x="6704331" y="2075180"/>
          <a:ext cx="2515869" cy="95254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4</xdr:col>
      <xdr:colOff>476250</xdr:colOff>
      <xdr:row>5</xdr:row>
      <xdr:rowOff>85726</xdr:rowOff>
    </xdr:from>
    <xdr:to>
      <xdr:col>6</xdr:col>
      <xdr:colOff>567690</xdr:colOff>
      <xdr:row>9</xdr:row>
      <xdr:rowOff>149315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3668021-7F63-444C-B597-B3B6D1448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0" y="1000126"/>
          <a:ext cx="1676400" cy="795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30886</xdr:colOff>
      <xdr:row>1</xdr:row>
      <xdr:rowOff>51955</xdr:rowOff>
    </xdr:from>
    <xdr:to>
      <xdr:col>5</xdr:col>
      <xdr:colOff>208608</xdr:colOff>
      <xdr:row>3</xdr:row>
      <xdr:rowOff>209682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96754A3-F4C9-403F-9A42-8165ED18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4022" y="225137"/>
          <a:ext cx="2371243" cy="1050652"/>
        </a:xfrm>
        <a:prstGeom prst="rect">
          <a:avLst/>
        </a:prstGeom>
      </xdr:spPr>
    </xdr:pic>
    <xdr:clientData/>
  </xdr:twoCellAnchor>
  <xdr:twoCellAnchor editAs="oneCell">
    <xdr:from>
      <xdr:col>5</xdr:col>
      <xdr:colOff>779897</xdr:colOff>
      <xdr:row>1</xdr:row>
      <xdr:rowOff>277092</xdr:rowOff>
    </xdr:from>
    <xdr:to>
      <xdr:col>6</xdr:col>
      <xdr:colOff>788151</xdr:colOff>
      <xdr:row>3</xdr:row>
      <xdr:rowOff>218210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D0FAF05-C79D-78AD-7531-2E3ACE1B1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tretch>
          <a:fillRect/>
        </a:stretch>
      </xdr:blipFill>
      <xdr:spPr>
        <a:xfrm>
          <a:off x="4913170" y="461819"/>
          <a:ext cx="1113442" cy="8679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419212</xdr:colOff>
      <xdr:row>0</xdr:row>
      <xdr:rowOff>166523</xdr:rowOff>
    </xdr:from>
    <xdr:to>
      <xdr:col>4</xdr:col>
      <xdr:colOff>1317604</xdr:colOff>
      <xdr:row>4</xdr:row>
      <xdr:rowOff>88320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9EC0AE5-8D3E-4B90-AE7C-1E2ECEED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712" y="166523"/>
          <a:ext cx="2353089" cy="113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492673</xdr:colOff>
      <xdr:row>1</xdr:row>
      <xdr:rowOff>64367</xdr:rowOff>
    </xdr:from>
    <xdr:to>
      <xdr:col>6</xdr:col>
      <xdr:colOff>219679</xdr:colOff>
      <xdr:row>3</xdr:row>
      <xdr:rowOff>160319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71F02EF-40C2-8584-10B3-AB29D9B7F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tretch>
          <a:fillRect/>
        </a:stretch>
      </xdr:blipFill>
      <xdr:spPr>
        <a:xfrm>
          <a:off x="5627414" y="250488"/>
          <a:ext cx="1081418" cy="9357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fonline-my.sharepoint.com/personal/delphine_cadot_edf_fr/Documents/Outils%20divers/Aide%20&#224;%20la%20vente%20Sowee/Gaz/V1%20-%20Aide%20&#224;%20la%20vente%20Sowee%20Gaz.xlsx" TargetMode="External"/><Relationship Id="rId1" Type="http://schemas.openxmlformats.org/officeDocument/2006/relationships/externalLinkPath" Target="/personal/carole_kermagoret_edf_fr/Documents/DMEX/THERMOSTAT/Calculette%20location/Outils%20divers/Aide%20&#224;%20la%20vente%20Sowee/Gaz/V1%20-%20Aide%20&#224;%20la%20vente%20Sowee%20G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3Dj9BMxkUqoa62SA4MeXbou0-zJBOFFr1RnC1VYBXfyUxfeMuoAQrS1kIpdtfm0" itemId="01AQ4H3XKI6DZUNLTQQVHZAVXP6IAU7IJ6">
      <xxl21:absoluteUrl r:id="rId2"/>
    </xxl21:alternateUrls>
    <sheetNames>
      <sheetName val="Table"/>
      <sheetName val="Sowee Gaz"/>
    </sheetNames>
    <sheetDataSet>
      <sheetData sheetId="0">
        <row r="1">
          <cell r="A1" t="str">
            <v>Nombre de radiateurs</v>
          </cell>
          <cell r="B1" t="str">
            <v>Mensuel sans  effacement</v>
          </cell>
          <cell r="C1" t="str">
            <v>Annuel sans effacement</v>
          </cell>
          <cell r="D1" t="str">
            <v>Mensuel avec effacement</v>
          </cell>
          <cell r="E1" t="str">
            <v>Annuel sans effacement</v>
          </cell>
        </row>
        <row r="2">
          <cell r="A2">
            <v>2</v>
          </cell>
          <cell r="B2">
            <v>5.9</v>
          </cell>
          <cell r="C2">
            <v>70.800000000000011</v>
          </cell>
          <cell r="D2">
            <v>9.9</v>
          </cell>
          <cell r="E2">
            <v>118.80000000000001</v>
          </cell>
        </row>
        <row r="3">
          <cell r="A3">
            <v>3</v>
          </cell>
          <cell r="B3">
            <v>7.4</v>
          </cell>
          <cell r="C3">
            <v>88.800000000000011</v>
          </cell>
          <cell r="D3">
            <v>11.4</v>
          </cell>
          <cell r="E3">
            <v>136.80000000000001</v>
          </cell>
        </row>
        <row r="4">
          <cell r="A4">
            <v>4</v>
          </cell>
          <cell r="B4">
            <v>8.9</v>
          </cell>
          <cell r="C4">
            <v>106.80000000000001</v>
          </cell>
          <cell r="D4">
            <v>12.9</v>
          </cell>
          <cell r="E4">
            <v>154.80000000000001</v>
          </cell>
        </row>
        <row r="5">
          <cell r="A5">
            <v>5</v>
          </cell>
          <cell r="B5">
            <v>10.4</v>
          </cell>
          <cell r="C5">
            <v>124.80000000000001</v>
          </cell>
          <cell r="D5">
            <v>14.4</v>
          </cell>
          <cell r="E5">
            <v>172.8</v>
          </cell>
        </row>
        <row r="6">
          <cell r="A6">
            <v>6</v>
          </cell>
          <cell r="B6">
            <v>11.9</v>
          </cell>
          <cell r="C6">
            <v>142.80000000000001</v>
          </cell>
          <cell r="D6">
            <v>15.9</v>
          </cell>
          <cell r="E6">
            <v>190.8</v>
          </cell>
        </row>
        <row r="7">
          <cell r="A7">
            <v>7</v>
          </cell>
          <cell r="B7">
            <v>13.4</v>
          </cell>
          <cell r="C7">
            <v>160.80000000000001</v>
          </cell>
          <cell r="D7">
            <v>17.399999999999999</v>
          </cell>
          <cell r="E7">
            <v>208.79999999999998</v>
          </cell>
        </row>
        <row r="8">
          <cell r="A8">
            <v>8</v>
          </cell>
          <cell r="B8">
            <v>14.9</v>
          </cell>
          <cell r="C8">
            <v>178.8</v>
          </cell>
          <cell r="D8">
            <v>18.899999999999999</v>
          </cell>
          <cell r="E8">
            <v>226.79999999999998</v>
          </cell>
        </row>
        <row r="9">
          <cell r="A9">
            <v>9</v>
          </cell>
          <cell r="B9">
            <v>16.399999999999999</v>
          </cell>
          <cell r="C9">
            <v>196.79999999999998</v>
          </cell>
          <cell r="D9">
            <v>20.399999999999999</v>
          </cell>
          <cell r="E9">
            <v>244.79999999999998</v>
          </cell>
        </row>
        <row r="10">
          <cell r="A10">
            <v>10</v>
          </cell>
          <cell r="B10">
            <v>17.899999999999999</v>
          </cell>
          <cell r="C10">
            <v>214.79999999999998</v>
          </cell>
          <cell r="D10">
            <v>21.9</v>
          </cell>
          <cell r="E10">
            <v>262.79999999999995</v>
          </cell>
        </row>
        <row r="11">
          <cell r="A11">
            <v>11</v>
          </cell>
          <cell r="B11">
            <v>19.399999999999999</v>
          </cell>
          <cell r="C11">
            <v>232.79999999999998</v>
          </cell>
          <cell r="D11">
            <v>23.4</v>
          </cell>
          <cell r="E11">
            <v>280.79999999999995</v>
          </cell>
        </row>
        <row r="12">
          <cell r="A12">
            <v>12</v>
          </cell>
          <cell r="B12">
            <v>20.9</v>
          </cell>
          <cell r="C12">
            <v>250.79999999999998</v>
          </cell>
          <cell r="D12">
            <v>24.9</v>
          </cell>
          <cell r="E12">
            <v>298.79999999999995</v>
          </cell>
        </row>
        <row r="13">
          <cell r="A13">
            <v>13</v>
          </cell>
          <cell r="B13">
            <v>22.4</v>
          </cell>
          <cell r="C13">
            <v>268.79999999999995</v>
          </cell>
          <cell r="D13">
            <v>26.4</v>
          </cell>
          <cell r="E13">
            <v>316.79999999999995</v>
          </cell>
        </row>
        <row r="14">
          <cell r="A14">
            <v>14</v>
          </cell>
          <cell r="B14">
            <v>23.9</v>
          </cell>
          <cell r="C14">
            <v>286.79999999999995</v>
          </cell>
          <cell r="D14">
            <v>27.9</v>
          </cell>
          <cell r="E14">
            <v>334.79999999999995</v>
          </cell>
        </row>
        <row r="15">
          <cell r="A15">
            <v>15</v>
          </cell>
          <cell r="B15">
            <v>25.4</v>
          </cell>
          <cell r="C15">
            <v>304.79999999999995</v>
          </cell>
          <cell r="D15">
            <v>29.4</v>
          </cell>
          <cell r="E15">
            <v>352.79999999999995</v>
          </cell>
        </row>
        <row r="16">
          <cell r="A16">
            <v>16</v>
          </cell>
          <cell r="B16">
            <v>26.9</v>
          </cell>
          <cell r="C16">
            <v>322.79999999999995</v>
          </cell>
          <cell r="D16">
            <v>30.9</v>
          </cell>
          <cell r="E16">
            <v>370.79999999999995</v>
          </cell>
        </row>
        <row r="17">
          <cell r="A17">
            <v>17</v>
          </cell>
          <cell r="B17">
            <v>28.4</v>
          </cell>
          <cell r="C17">
            <v>340.79999999999995</v>
          </cell>
          <cell r="D17">
            <v>32.4</v>
          </cell>
          <cell r="E17">
            <v>388.79999999999995</v>
          </cell>
        </row>
        <row r="18">
          <cell r="A18">
            <v>18</v>
          </cell>
          <cell r="B18">
            <v>29.9</v>
          </cell>
          <cell r="C18">
            <v>358.79999999999995</v>
          </cell>
          <cell r="D18">
            <v>33.9</v>
          </cell>
          <cell r="E18">
            <v>406.79999999999995</v>
          </cell>
        </row>
        <row r="19">
          <cell r="A19">
            <v>19</v>
          </cell>
          <cell r="B19">
            <v>31.4</v>
          </cell>
          <cell r="C19">
            <v>376.79999999999995</v>
          </cell>
          <cell r="D19">
            <v>35.4</v>
          </cell>
          <cell r="E19">
            <v>424.79999999999995</v>
          </cell>
        </row>
        <row r="20">
          <cell r="A20">
            <v>20</v>
          </cell>
          <cell r="B20">
            <v>32.9</v>
          </cell>
          <cell r="C20">
            <v>394.79999999999995</v>
          </cell>
          <cell r="D20">
            <v>36.9</v>
          </cell>
          <cell r="E20">
            <v>442.79999999999995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3307-1398-4F49-916C-27F31F8C86BF}">
  <sheetPr codeName="Feuil1"/>
  <dimension ref="A1:E22"/>
  <sheetViews>
    <sheetView zoomScale="70" zoomScaleNormal="70" workbookViewId="0">
      <selection activeCell="D27" sqref="D27"/>
    </sheetView>
  </sheetViews>
  <sheetFormatPr baseColWidth="10" defaultRowHeight="14.5" x14ac:dyDescent="0.35"/>
  <cols>
    <col min="1" max="1" width="24" style="2" bestFit="1" customWidth="1"/>
    <col min="2" max="2" width="28.81640625" style="2" bestFit="1" customWidth="1"/>
    <col min="3" max="3" width="26.81640625" style="2" bestFit="1" customWidth="1"/>
    <col min="4" max="4" width="28.81640625" style="2" bestFit="1" customWidth="1"/>
    <col min="5" max="5" width="26.81640625" style="2" bestFit="1" customWidth="1"/>
  </cols>
  <sheetData>
    <row r="1" spans="1:5" ht="18.5" x14ac:dyDescent="0.45">
      <c r="A1" s="31" t="s">
        <v>27</v>
      </c>
      <c r="B1" s="31" t="s">
        <v>28</v>
      </c>
      <c r="C1" s="31" t="s">
        <v>29</v>
      </c>
      <c r="D1" s="31" t="s">
        <v>30</v>
      </c>
      <c r="E1" s="31" t="s">
        <v>31</v>
      </c>
    </row>
    <row r="2" spans="1:5" ht="18.5" x14ac:dyDescent="0.45">
      <c r="A2" s="31">
        <v>2</v>
      </c>
      <c r="B2" s="32">
        <v>9.9</v>
      </c>
      <c r="C2" s="32">
        <f>B2*12</f>
        <v>118.80000000000001</v>
      </c>
      <c r="D2" s="32">
        <f>B2-$B$22</f>
        <v>6.9</v>
      </c>
      <c r="E2" s="32">
        <f>D2*12</f>
        <v>82.800000000000011</v>
      </c>
    </row>
    <row r="3" spans="1:5" ht="18.5" x14ac:dyDescent="0.45">
      <c r="A3" s="31">
        <v>3</v>
      </c>
      <c r="B3" s="32">
        <f>B2+1.5</f>
        <v>11.4</v>
      </c>
      <c r="C3" s="32">
        <f t="shared" ref="C3:C20" si="0">B3*12</f>
        <v>136.80000000000001</v>
      </c>
      <c r="D3" s="32">
        <f>B3-$B$22</f>
        <v>8.4</v>
      </c>
      <c r="E3" s="32">
        <f t="shared" ref="E3:E20" si="1">D3*12</f>
        <v>100.80000000000001</v>
      </c>
    </row>
    <row r="4" spans="1:5" ht="18.5" x14ac:dyDescent="0.45">
      <c r="A4" s="31">
        <v>4</v>
      </c>
      <c r="B4" s="32">
        <f t="shared" ref="B4:B20" si="2">B3+1.5</f>
        <v>12.9</v>
      </c>
      <c r="C4" s="32">
        <f t="shared" si="0"/>
        <v>154.80000000000001</v>
      </c>
      <c r="D4" s="32">
        <f t="shared" ref="D4:D20" si="3">B4-$B$22</f>
        <v>9.9</v>
      </c>
      <c r="E4" s="32">
        <f>D4*12</f>
        <v>118.80000000000001</v>
      </c>
    </row>
    <row r="5" spans="1:5" ht="18.5" x14ac:dyDescent="0.45">
      <c r="A5" s="31">
        <v>5</v>
      </c>
      <c r="B5" s="32">
        <f t="shared" si="2"/>
        <v>14.4</v>
      </c>
      <c r="C5" s="32">
        <f t="shared" si="0"/>
        <v>172.8</v>
      </c>
      <c r="D5" s="32">
        <f t="shared" si="3"/>
        <v>11.4</v>
      </c>
      <c r="E5" s="32">
        <f t="shared" si="1"/>
        <v>136.80000000000001</v>
      </c>
    </row>
    <row r="6" spans="1:5" ht="18.5" x14ac:dyDescent="0.45">
      <c r="A6" s="31">
        <v>6</v>
      </c>
      <c r="B6" s="32">
        <f t="shared" si="2"/>
        <v>15.9</v>
      </c>
      <c r="C6" s="32">
        <f t="shared" si="0"/>
        <v>190.8</v>
      </c>
      <c r="D6" s="32">
        <f t="shared" si="3"/>
        <v>12.9</v>
      </c>
      <c r="E6" s="32">
        <f t="shared" si="1"/>
        <v>154.80000000000001</v>
      </c>
    </row>
    <row r="7" spans="1:5" ht="18.5" x14ac:dyDescent="0.45">
      <c r="A7" s="31">
        <v>7</v>
      </c>
      <c r="B7" s="32">
        <f t="shared" si="2"/>
        <v>17.399999999999999</v>
      </c>
      <c r="C7" s="32">
        <f t="shared" si="0"/>
        <v>208.79999999999998</v>
      </c>
      <c r="D7" s="32">
        <f t="shared" si="3"/>
        <v>14.399999999999999</v>
      </c>
      <c r="E7" s="32">
        <f t="shared" si="1"/>
        <v>172.79999999999998</v>
      </c>
    </row>
    <row r="8" spans="1:5" ht="18.5" x14ac:dyDescent="0.45">
      <c r="A8" s="31">
        <v>8</v>
      </c>
      <c r="B8" s="32">
        <f t="shared" si="2"/>
        <v>18.899999999999999</v>
      </c>
      <c r="C8" s="32">
        <f t="shared" si="0"/>
        <v>226.79999999999998</v>
      </c>
      <c r="D8" s="32">
        <f t="shared" si="3"/>
        <v>15.899999999999999</v>
      </c>
      <c r="E8" s="32">
        <f t="shared" si="1"/>
        <v>190.79999999999998</v>
      </c>
    </row>
    <row r="9" spans="1:5" ht="18.5" x14ac:dyDescent="0.45">
      <c r="A9" s="31">
        <v>9</v>
      </c>
      <c r="B9" s="32">
        <f t="shared" si="2"/>
        <v>20.399999999999999</v>
      </c>
      <c r="C9" s="32">
        <f t="shared" si="0"/>
        <v>244.79999999999998</v>
      </c>
      <c r="D9" s="32">
        <f t="shared" si="3"/>
        <v>17.399999999999999</v>
      </c>
      <c r="E9" s="32">
        <f t="shared" si="1"/>
        <v>208.79999999999998</v>
      </c>
    </row>
    <row r="10" spans="1:5" ht="18.5" x14ac:dyDescent="0.45">
      <c r="A10" s="31">
        <v>10</v>
      </c>
      <c r="B10" s="32">
        <f t="shared" si="2"/>
        <v>21.9</v>
      </c>
      <c r="C10" s="32">
        <f t="shared" si="0"/>
        <v>262.79999999999995</v>
      </c>
      <c r="D10" s="32">
        <f t="shared" si="3"/>
        <v>18.899999999999999</v>
      </c>
      <c r="E10" s="32">
        <f t="shared" si="1"/>
        <v>226.79999999999998</v>
      </c>
    </row>
    <row r="11" spans="1:5" ht="18.5" x14ac:dyDescent="0.45">
      <c r="A11" s="31">
        <v>11</v>
      </c>
      <c r="B11" s="32">
        <f t="shared" si="2"/>
        <v>23.4</v>
      </c>
      <c r="C11" s="32">
        <f t="shared" si="0"/>
        <v>280.79999999999995</v>
      </c>
      <c r="D11" s="32">
        <f t="shared" si="3"/>
        <v>20.399999999999999</v>
      </c>
      <c r="E11" s="32">
        <f t="shared" si="1"/>
        <v>244.79999999999998</v>
      </c>
    </row>
    <row r="12" spans="1:5" ht="18.5" x14ac:dyDescent="0.45">
      <c r="A12" s="31">
        <v>12</v>
      </c>
      <c r="B12" s="32">
        <f t="shared" si="2"/>
        <v>24.9</v>
      </c>
      <c r="C12" s="32">
        <f t="shared" si="0"/>
        <v>298.79999999999995</v>
      </c>
      <c r="D12" s="32">
        <f t="shared" si="3"/>
        <v>21.9</v>
      </c>
      <c r="E12" s="32">
        <f t="shared" si="1"/>
        <v>262.79999999999995</v>
      </c>
    </row>
    <row r="13" spans="1:5" ht="18.5" x14ac:dyDescent="0.45">
      <c r="A13" s="31">
        <v>13</v>
      </c>
      <c r="B13" s="32">
        <f t="shared" si="2"/>
        <v>26.4</v>
      </c>
      <c r="C13" s="32">
        <f t="shared" si="0"/>
        <v>316.79999999999995</v>
      </c>
      <c r="D13" s="32">
        <f t="shared" si="3"/>
        <v>23.4</v>
      </c>
      <c r="E13" s="32">
        <f t="shared" si="1"/>
        <v>280.79999999999995</v>
      </c>
    </row>
    <row r="14" spans="1:5" ht="18.5" x14ac:dyDescent="0.45">
      <c r="A14" s="31">
        <v>14</v>
      </c>
      <c r="B14" s="32">
        <f t="shared" si="2"/>
        <v>27.9</v>
      </c>
      <c r="C14" s="32">
        <f t="shared" si="0"/>
        <v>334.79999999999995</v>
      </c>
      <c r="D14" s="32">
        <f t="shared" si="3"/>
        <v>24.9</v>
      </c>
      <c r="E14" s="32">
        <f t="shared" si="1"/>
        <v>298.79999999999995</v>
      </c>
    </row>
    <row r="15" spans="1:5" ht="18.5" x14ac:dyDescent="0.45">
      <c r="A15" s="31">
        <v>15</v>
      </c>
      <c r="B15" s="32">
        <f t="shared" si="2"/>
        <v>29.4</v>
      </c>
      <c r="C15" s="32">
        <f t="shared" si="0"/>
        <v>352.79999999999995</v>
      </c>
      <c r="D15" s="32">
        <f t="shared" si="3"/>
        <v>26.4</v>
      </c>
      <c r="E15" s="32">
        <f t="shared" si="1"/>
        <v>316.79999999999995</v>
      </c>
    </row>
    <row r="16" spans="1:5" ht="18.5" x14ac:dyDescent="0.45">
      <c r="A16" s="31">
        <v>16</v>
      </c>
      <c r="B16" s="32">
        <f t="shared" si="2"/>
        <v>30.9</v>
      </c>
      <c r="C16" s="32">
        <f t="shared" si="0"/>
        <v>370.79999999999995</v>
      </c>
      <c r="D16" s="32">
        <f t="shared" si="3"/>
        <v>27.9</v>
      </c>
      <c r="E16" s="32">
        <f t="shared" si="1"/>
        <v>334.79999999999995</v>
      </c>
    </row>
    <row r="17" spans="1:5" ht="18.5" x14ac:dyDescent="0.45">
      <c r="A17" s="31">
        <v>17</v>
      </c>
      <c r="B17" s="32">
        <f t="shared" si="2"/>
        <v>32.4</v>
      </c>
      <c r="C17" s="32">
        <f t="shared" si="0"/>
        <v>388.79999999999995</v>
      </c>
      <c r="D17" s="32">
        <f t="shared" si="3"/>
        <v>29.4</v>
      </c>
      <c r="E17" s="32">
        <f t="shared" si="1"/>
        <v>352.79999999999995</v>
      </c>
    </row>
    <row r="18" spans="1:5" ht="18.5" x14ac:dyDescent="0.45">
      <c r="A18" s="31">
        <v>18</v>
      </c>
      <c r="B18" s="32">
        <f t="shared" si="2"/>
        <v>33.9</v>
      </c>
      <c r="C18" s="32">
        <f t="shared" si="0"/>
        <v>406.79999999999995</v>
      </c>
      <c r="D18" s="32">
        <f t="shared" si="3"/>
        <v>30.9</v>
      </c>
      <c r="E18" s="32">
        <f t="shared" si="1"/>
        <v>370.79999999999995</v>
      </c>
    </row>
    <row r="19" spans="1:5" ht="18.5" x14ac:dyDescent="0.45">
      <c r="A19" s="31">
        <v>19</v>
      </c>
      <c r="B19" s="32">
        <f t="shared" si="2"/>
        <v>35.4</v>
      </c>
      <c r="C19" s="32">
        <f t="shared" si="0"/>
        <v>424.79999999999995</v>
      </c>
      <c r="D19" s="32">
        <f t="shared" si="3"/>
        <v>32.4</v>
      </c>
      <c r="E19" s="32">
        <f t="shared" si="1"/>
        <v>388.79999999999995</v>
      </c>
    </row>
    <row r="20" spans="1:5" ht="18.5" x14ac:dyDescent="0.45">
      <c r="A20" s="31">
        <v>20</v>
      </c>
      <c r="B20" s="32">
        <f t="shared" si="2"/>
        <v>36.9</v>
      </c>
      <c r="C20" s="32">
        <f t="shared" si="0"/>
        <v>442.79999999999995</v>
      </c>
      <c r="D20" s="32">
        <f t="shared" si="3"/>
        <v>33.9</v>
      </c>
      <c r="E20" s="32">
        <f t="shared" si="1"/>
        <v>406.79999999999995</v>
      </c>
    </row>
    <row r="22" spans="1:5" x14ac:dyDescent="0.35">
      <c r="A22" s="33" t="s">
        <v>32</v>
      </c>
      <c r="B22" s="33">
        <v>3</v>
      </c>
    </row>
  </sheetData>
  <pageMargins left="0.7" right="0.7" top="0.75" bottom="0.75" header="0.3" footer="0.3"/>
  <ignoredErrors>
    <ignoredError sqref="D2:D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A18E-5F43-4810-9E8E-992AF7178A13}">
  <sheetPr codeName="Feuil2"/>
  <dimension ref="A1:L15"/>
  <sheetViews>
    <sheetView showGridLines="0" zoomScaleNormal="100" workbookViewId="0">
      <selection activeCell="G22" sqref="G22"/>
    </sheetView>
  </sheetViews>
  <sheetFormatPr baseColWidth="10" defaultColWidth="11.453125" defaultRowHeight="14.5" x14ac:dyDescent="0.35"/>
  <cols>
    <col min="1" max="14" width="12.1796875" customWidth="1"/>
    <col min="15" max="15" width="11.1796875" customWidth="1"/>
  </cols>
  <sheetData>
    <row r="1" spans="1:12" ht="14.75" customHeight="1" x14ac:dyDescent="0.35">
      <c r="C1" s="89" t="s">
        <v>37</v>
      </c>
      <c r="D1" s="90"/>
      <c r="E1" s="90"/>
      <c r="F1" s="90"/>
      <c r="G1" s="90"/>
      <c r="H1" s="90"/>
      <c r="I1" s="90"/>
      <c r="J1" s="90"/>
      <c r="K1" s="91"/>
    </row>
    <row r="2" spans="1:12" ht="14.75" customHeight="1" x14ac:dyDescent="0.35">
      <c r="C2" s="92"/>
      <c r="D2" s="93"/>
      <c r="E2" s="93"/>
      <c r="F2" s="93"/>
      <c r="G2" s="93"/>
      <c r="H2" s="93"/>
      <c r="I2" s="93"/>
      <c r="J2" s="93"/>
      <c r="K2" s="94"/>
    </row>
    <row r="3" spans="1:12" ht="14.75" customHeight="1" x14ac:dyDescent="0.35">
      <c r="C3" s="92"/>
      <c r="D3" s="93"/>
      <c r="E3" s="93"/>
      <c r="F3" s="93"/>
      <c r="G3" s="93"/>
      <c r="H3" s="93"/>
      <c r="I3" s="93"/>
      <c r="J3" s="93"/>
      <c r="K3" s="94"/>
    </row>
    <row r="4" spans="1:12" ht="14.75" customHeight="1" x14ac:dyDescent="0.35">
      <c r="C4" s="92"/>
      <c r="D4" s="93"/>
      <c r="E4" s="93"/>
      <c r="F4" s="93"/>
      <c r="G4" s="93"/>
      <c r="H4" s="93"/>
      <c r="I4" s="93"/>
      <c r="J4" s="93"/>
      <c r="K4" s="94"/>
    </row>
    <row r="5" spans="1:12" ht="14.75" customHeight="1" x14ac:dyDescent="0.35">
      <c r="C5" s="95"/>
      <c r="D5" s="96"/>
      <c r="E5" s="96"/>
      <c r="F5" s="96"/>
      <c r="G5" s="96"/>
      <c r="H5" s="96"/>
      <c r="I5" s="96"/>
      <c r="J5" s="96"/>
      <c r="K5" s="97"/>
    </row>
    <row r="8" spans="1:12" ht="14.75" customHeight="1" x14ac:dyDescent="0.35">
      <c r="B8" s="88" t="s">
        <v>0</v>
      </c>
      <c r="C8" s="88"/>
      <c r="D8" s="88"/>
      <c r="E8" s="88"/>
      <c r="F8" s="88"/>
      <c r="H8" s="88" t="s">
        <v>1</v>
      </c>
      <c r="I8" s="88"/>
      <c r="J8" s="88"/>
      <c r="K8" s="88"/>
      <c r="L8" s="88"/>
    </row>
    <row r="9" spans="1:12" ht="14.75" customHeight="1" x14ac:dyDescent="0.35">
      <c r="B9" s="88"/>
      <c r="C9" s="88"/>
      <c r="D9" s="88"/>
      <c r="E9" s="88"/>
      <c r="F9" s="88"/>
      <c r="H9" s="88"/>
      <c r="I9" s="88"/>
      <c r="J9" s="88"/>
      <c r="K9" s="88"/>
      <c r="L9" s="88"/>
    </row>
    <row r="10" spans="1:12" ht="14.75" customHeight="1" x14ac:dyDescent="0.35">
      <c r="B10" s="88"/>
      <c r="C10" s="88"/>
      <c r="D10" s="88"/>
      <c r="E10" s="88"/>
      <c r="F10" s="88"/>
      <c r="H10" s="88"/>
      <c r="I10" s="88"/>
      <c r="J10" s="88"/>
      <c r="K10" s="88"/>
      <c r="L10" s="88"/>
    </row>
    <row r="11" spans="1:12" ht="14.75" customHeight="1" x14ac:dyDescent="0.35">
      <c r="B11" s="88"/>
      <c r="C11" s="88"/>
      <c r="D11" s="88"/>
      <c r="E11" s="88"/>
      <c r="F11" s="88"/>
      <c r="H11" s="88"/>
      <c r="I11" s="88"/>
      <c r="J11" s="88"/>
      <c r="K11" s="88"/>
      <c r="L11" s="88"/>
    </row>
    <row r="12" spans="1:12" ht="14.75" customHeight="1" x14ac:dyDescent="0.35"/>
    <row r="13" spans="1:12" ht="14.75" customHeight="1" x14ac:dyDescent="0.35">
      <c r="A13" s="30"/>
      <c r="B13" s="30"/>
    </row>
    <row r="14" spans="1:12" ht="14.75" customHeight="1" x14ac:dyDescent="0.35">
      <c r="A14" s="30"/>
      <c r="B14" s="30"/>
    </row>
    <row r="15" spans="1:12" ht="14.75" customHeight="1" x14ac:dyDescent="0.35">
      <c r="A15" s="30"/>
      <c r="B15" s="30"/>
    </row>
  </sheetData>
  <sheetProtection algorithmName="SHA-512" hashValue="WB57GOkwlTwH8fltvbTOToiEyloN4MvIbcuiddGjqNtbyxTPFZDc6lw7kUosfDqWtiPXvnku3Ffhs5kuCXJncw==" saltValue="39Vwh3HYZiqpjO1WJJU+/Q==" spinCount="100000" sheet="1" objects="1" scenarios="1"/>
  <mergeCells count="3">
    <mergeCell ref="B8:F11"/>
    <mergeCell ref="H8:L11"/>
    <mergeCell ref="C1:K5"/>
  </mergeCells>
  <pageMargins left="0.7" right="0.7" top="0.75" bottom="0.75" header="0.3" footer="0.3"/>
  <pageSetup paperSize="9" orientation="portrait" verticalDpi="598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AE8B-09E7-49CE-ABE5-FC9DB8EE3CA8}">
  <dimension ref="A1:R128"/>
  <sheetViews>
    <sheetView workbookViewId="0">
      <selection activeCell="F21" sqref="F21"/>
    </sheetView>
  </sheetViews>
  <sheetFormatPr baseColWidth="10" defaultRowHeight="14.5" x14ac:dyDescent="0.35"/>
  <sheetData>
    <row r="1" spans="1:18" x14ac:dyDescent="0.35">
      <c r="A1" s="65"/>
      <c r="B1" s="98" t="s">
        <v>37</v>
      </c>
      <c r="C1" s="99"/>
      <c r="D1" s="99"/>
      <c r="E1" s="99"/>
      <c r="F1" s="99"/>
      <c r="G1" s="99"/>
      <c r="H1" s="99"/>
      <c r="I1" s="99"/>
      <c r="J1" s="100"/>
      <c r="K1" s="64"/>
      <c r="L1" s="64"/>
      <c r="M1" s="64"/>
      <c r="N1" s="64"/>
      <c r="O1" s="64"/>
      <c r="P1" s="64"/>
      <c r="Q1" s="64"/>
      <c r="R1" s="64"/>
    </row>
    <row r="2" spans="1:18" x14ac:dyDescent="0.35">
      <c r="A2" s="64"/>
      <c r="B2" s="101"/>
      <c r="C2" s="102"/>
      <c r="D2" s="102"/>
      <c r="E2" s="102"/>
      <c r="F2" s="102"/>
      <c r="G2" s="102"/>
      <c r="H2" s="102"/>
      <c r="I2" s="102"/>
      <c r="J2" s="103"/>
      <c r="K2" s="64"/>
      <c r="L2" s="64"/>
      <c r="M2" s="64"/>
      <c r="N2" s="64"/>
      <c r="O2" s="64"/>
      <c r="P2" s="64"/>
      <c r="Q2" s="64"/>
      <c r="R2" s="64"/>
    </row>
    <row r="3" spans="1:18" x14ac:dyDescent="0.35">
      <c r="A3" s="64"/>
      <c r="B3" s="101"/>
      <c r="C3" s="102"/>
      <c r="D3" s="102"/>
      <c r="E3" s="102"/>
      <c r="F3" s="102"/>
      <c r="G3" s="102"/>
      <c r="H3" s="102"/>
      <c r="I3" s="102"/>
      <c r="J3" s="103"/>
      <c r="K3" s="64"/>
      <c r="L3" s="64"/>
      <c r="M3" s="64"/>
      <c r="N3" s="64"/>
      <c r="O3" s="64"/>
      <c r="P3" s="64"/>
      <c r="Q3" s="64"/>
      <c r="R3" s="64"/>
    </row>
    <row r="4" spans="1:18" x14ac:dyDescent="0.35">
      <c r="A4" s="64"/>
      <c r="B4" s="101"/>
      <c r="C4" s="102"/>
      <c r="D4" s="102"/>
      <c r="E4" s="102"/>
      <c r="F4" s="102"/>
      <c r="G4" s="102"/>
      <c r="H4" s="102"/>
      <c r="I4" s="102"/>
      <c r="J4" s="103"/>
      <c r="K4" s="64"/>
      <c r="L4" s="64"/>
      <c r="M4" s="64"/>
      <c r="N4" s="64"/>
      <c r="O4" s="64"/>
      <c r="P4" s="64"/>
      <c r="Q4" s="64"/>
      <c r="R4" s="64"/>
    </row>
    <row r="5" spans="1:18" x14ac:dyDescent="0.35">
      <c r="A5" s="64"/>
      <c r="B5" s="104"/>
      <c r="C5" s="105"/>
      <c r="D5" s="105"/>
      <c r="E5" s="105"/>
      <c r="F5" s="105"/>
      <c r="G5" s="105"/>
      <c r="H5" s="105"/>
      <c r="I5" s="105"/>
      <c r="J5" s="106"/>
      <c r="K5" s="64"/>
      <c r="L5" s="64"/>
      <c r="M5" s="64"/>
      <c r="N5" s="64"/>
      <c r="O5" s="64"/>
      <c r="P5" s="64"/>
      <c r="Q5" s="64"/>
      <c r="R5" s="64"/>
    </row>
    <row r="6" spans="1:18" x14ac:dyDescent="0.3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spans="1:18" x14ac:dyDescent="0.3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</row>
    <row r="8" spans="1:18" x14ac:dyDescent="0.35">
      <c r="A8" s="107" t="s">
        <v>0</v>
      </c>
      <c r="B8" s="107"/>
      <c r="C8" s="107"/>
      <c r="D8" s="107"/>
      <c r="E8" s="107"/>
      <c r="F8" s="64"/>
      <c r="G8" s="107" t="s">
        <v>1</v>
      </c>
      <c r="H8" s="107"/>
      <c r="I8" s="107"/>
      <c r="J8" s="107"/>
      <c r="K8" s="107"/>
      <c r="L8" s="64"/>
      <c r="M8" s="64"/>
      <c r="N8" s="64"/>
      <c r="O8" s="64"/>
      <c r="P8" s="64"/>
      <c r="Q8" s="64"/>
      <c r="R8" s="64"/>
    </row>
    <row r="9" spans="1:18" x14ac:dyDescent="0.35">
      <c r="A9" s="107"/>
      <c r="B9" s="107"/>
      <c r="C9" s="107"/>
      <c r="D9" s="107"/>
      <c r="E9" s="107"/>
      <c r="F9" s="64"/>
      <c r="G9" s="107"/>
      <c r="H9" s="107"/>
      <c r="I9" s="107"/>
      <c r="J9" s="107"/>
      <c r="K9" s="107"/>
      <c r="L9" s="64"/>
      <c r="M9" s="64"/>
      <c r="N9" s="64"/>
      <c r="O9" s="64"/>
      <c r="P9" s="64"/>
      <c r="Q9" s="64"/>
      <c r="R9" s="64"/>
    </row>
    <row r="10" spans="1:18" x14ac:dyDescent="0.35">
      <c r="A10" s="107"/>
      <c r="B10" s="107"/>
      <c r="C10" s="107"/>
      <c r="D10" s="107"/>
      <c r="E10" s="107"/>
      <c r="F10" s="64"/>
      <c r="G10" s="107"/>
      <c r="H10" s="107"/>
      <c r="I10" s="107"/>
      <c r="J10" s="107"/>
      <c r="K10" s="107"/>
      <c r="L10" s="64"/>
      <c r="M10" s="64"/>
      <c r="N10" s="64"/>
      <c r="O10" s="64"/>
      <c r="P10" s="64"/>
      <c r="Q10" s="64"/>
      <c r="R10" s="64"/>
    </row>
    <row r="11" spans="1:18" x14ac:dyDescent="0.35">
      <c r="A11" s="107"/>
      <c r="B11" s="107"/>
      <c r="C11" s="107"/>
      <c r="D11" s="107"/>
      <c r="E11" s="107"/>
      <c r="F11" s="64"/>
      <c r="G11" s="107"/>
      <c r="H11" s="107"/>
      <c r="I11" s="107"/>
      <c r="J11" s="107"/>
      <c r="K11" s="107"/>
      <c r="L11" s="64"/>
      <c r="M11" s="64"/>
      <c r="N11" s="64"/>
      <c r="O11" s="64"/>
      <c r="P11" s="64"/>
      <c r="Q11" s="64"/>
      <c r="R11" s="64"/>
    </row>
    <row r="12" spans="1:18" x14ac:dyDescent="0.3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</row>
    <row r="13" spans="1:18" ht="36" x14ac:dyDescent="0.35">
      <c r="A13" s="66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spans="1:18" ht="36" x14ac:dyDescent="0.35">
      <c r="A14" s="66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spans="1:18" ht="36" x14ac:dyDescent="0.35">
      <c r="A15" s="66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spans="1:18" x14ac:dyDescent="0.3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spans="1:18" x14ac:dyDescent="0.3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spans="1:18" x14ac:dyDescent="0.3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spans="1:18" x14ac:dyDescent="0.3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spans="1:18" x14ac:dyDescent="0.3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spans="1:18" x14ac:dyDescent="0.3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spans="1:18" x14ac:dyDescent="0.3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spans="1:18" x14ac:dyDescent="0.3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</row>
    <row r="24" spans="1:18" x14ac:dyDescent="0.3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</row>
    <row r="25" spans="1:18" x14ac:dyDescent="0.3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</row>
    <row r="26" spans="1:18" x14ac:dyDescent="0.3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</row>
    <row r="27" spans="1:18" x14ac:dyDescent="0.3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</row>
    <row r="28" spans="1:18" x14ac:dyDescent="0.3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</row>
    <row r="29" spans="1:18" x14ac:dyDescent="0.3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</row>
    <row r="30" spans="1:18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</row>
    <row r="31" spans="1:18" x14ac:dyDescent="0.3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</row>
    <row r="32" spans="1:18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</row>
    <row r="33" spans="1:18" x14ac:dyDescent="0.3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</row>
    <row r="34" spans="1:18" x14ac:dyDescent="0.3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</row>
    <row r="35" spans="1:18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</row>
    <row r="36" spans="1:18" x14ac:dyDescent="0.3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</row>
    <row r="37" spans="1:18" x14ac:dyDescent="0.3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</row>
    <row r="38" spans="1:18" x14ac:dyDescent="0.3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</row>
    <row r="39" spans="1:18" x14ac:dyDescent="0.3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</row>
    <row r="40" spans="1:18" x14ac:dyDescent="0.3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</row>
    <row r="41" spans="1:18" x14ac:dyDescent="0.3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</row>
    <row r="42" spans="1:18" x14ac:dyDescent="0.3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</row>
    <row r="43" spans="1:18" x14ac:dyDescent="0.3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</row>
    <row r="44" spans="1:18" x14ac:dyDescent="0.3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</row>
    <row r="45" spans="1:18" x14ac:dyDescent="0.3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</row>
    <row r="46" spans="1:18" x14ac:dyDescent="0.3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</row>
    <row r="47" spans="1:18" x14ac:dyDescent="0.3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</row>
    <row r="48" spans="1:18" x14ac:dyDescent="0.3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</row>
    <row r="49" spans="1:18" x14ac:dyDescent="0.3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</row>
    <row r="50" spans="1:18" x14ac:dyDescent="0.3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</row>
    <row r="51" spans="1:18" x14ac:dyDescent="0.3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</row>
    <row r="52" spans="1:18" x14ac:dyDescent="0.3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</row>
    <row r="53" spans="1:18" x14ac:dyDescent="0.3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</row>
    <row r="54" spans="1:18" x14ac:dyDescent="0.3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</row>
    <row r="55" spans="1:18" x14ac:dyDescent="0.3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</row>
    <row r="56" spans="1:18" x14ac:dyDescent="0.3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</row>
    <row r="57" spans="1:18" x14ac:dyDescent="0.3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</row>
    <row r="58" spans="1:18" x14ac:dyDescent="0.3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</row>
    <row r="59" spans="1:18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</row>
    <row r="60" spans="1:18" x14ac:dyDescent="0.3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</row>
    <row r="61" spans="1:18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</row>
    <row r="62" spans="1:18" x14ac:dyDescent="0.3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</row>
    <row r="63" spans="1:18" x14ac:dyDescent="0.3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</row>
    <row r="64" spans="1:18" x14ac:dyDescent="0.3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</row>
    <row r="65" spans="1:18" x14ac:dyDescent="0.3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</row>
    <row r="66" spans="1:18" x14ac:dyDescent="0.3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</row>
    <row r="67" spans="1:18" x14ac:dyDescent="0.3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</row>
    <row r="68" spans="1:18" x14ac:dyDescent="0.3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</row>
    <row r="69" spans="1:18" x14ac:dyDescent="0.3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</row>
    <row r="70" spans="1:18" x14ac:dyDescent="0.3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</row>
    <row r="71" spans="1:18" x14ac:dyDescent="0.3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</row>
    <row r="72" spans="1:18" x14ac:dyDescent="0.3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</row>
    <row r="73" spans="1:18" x14ac:dyDescent="0.3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</row>
    <row r="74" spans="1:18" x14ac:dyDescent="0.3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</row>
    <row r="75" spans="1:18" x14ac:dyDescent="0.3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</row>
    <row r="76" spans="1:18" x14ac:dyDescent="0.3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</row>
    <row r="77" spans="1:18" x14ac:dyDescent="0.3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</row>
    <row r="78" spans="1:18" x14ac:dyDescent="0.3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</row>
    <row r="79" spans="1:18" x14ac:dyDescent="0.3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</row>
    <row r="80" spans="1:18" x14ac:dyDescent="0.3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</row>
    <row r="81" spans="1:18" x14ac:dyDescent="0.3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 x14ac:dyDescent="0.3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x14ac:dyDescent="0.3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</row>
    <row r="84" spans="1:18" x14ac:dyDescent="0.3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</row>
    <row r="85" spans="1:18" x14ac:dyDescent="0.3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</row>
    <row r="86" spans="1:18" x14ac:dyDescent="0.3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</row>
    <row r="87" spans="1:18" x14ac:dyDescent="0.3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 x14ac:dyDescent="0.3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</row>
    <row r="90" spans="1:18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 x14ac:dyDescent="0.3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 x14ac:dyDescent="0.3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</row>
    <row r="93" spans="1:18" x14ac:dyDescent="0.3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</row>
    <row r="94" spans="1:18" x14ac:dyDescent="0.3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</row>
    <row r="95" spans="1:18" x14ac:dyDescent="0.3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</row>
    <row r="96" spans="1:18" x14ac:dyDescent="0.3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</row>
    <row r="97" spans="1:18" x14ac:dyDescent="0.3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</row>
    <row r="98" spans="1:18" x14ac:dyDescent="0.3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</row>
    <row r="99" spans="1:18" x14ac:dyDescent="0.3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</row>
    <row r="100" spans="1:18" x14ac:dyDescent="0.3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</row>
    <row r="101" spans="1:18" x14ac:dyDescent="0.3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</row>
    <row r="102" spans="1:18" x14ac:dyDescent="0.3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</row>
    <row r="103" spans="1:18" x14ac:dyDescent="0.3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</row>
    <row r="104" spans="1:18" x14ac:dyDescent="0.3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</row>
    <row r="105" spans="1:18" x14ac:dyDescent="0.3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</row>
    <row r="106" spans="1:18" x14ac:dyDescent="0.3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</row>
    <row r="107" spans="1:18" x14ac:dyDescent="0.3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</row>
    <row r="108" spans="1:18" x14ac:dyDescent="0.3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</row>
    <row r="109" spans="1:18" x14ac:dyDescent="0.3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</row>
    <row r="110" spans="1:18" x14ac:dyDescent="0.3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</row>
    <row r="111" spans="1:18" x14ac:dyDescent="0.3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</row>
    <row r="112" spans="1:18" x14ac:dyDescent="0.3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</row>
    <row r="113" spans="1:18" x14ac:dyDescent="0.3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</row>
    <row r="114" spans="1:18" x14ac:dyDescent="0.3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</row>
    <row r="115" spans="1:18" x14ac:dyDescent="0.3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</row>
    <row r="116" spans="1:18" x14ac:dyDescent="0.3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</row>
    <row r="117" spans="1:18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</row>
    <row r="118" spans="1:18" x14ac:dyDescent="0.3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</row>
    <row r="119" spans="1:18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</row>
    <row r="120" spans="1:18" x14ac:dyDescent="0.3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</row>
    <row r="121" spans="1:18" x14ac:dyDescent="0.3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</row>
    <row r="122" spans="1:18" x14ac:dyDescent="0.3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</row>
    <row r="123" spans="1:18" x14ac:dyDescent="0.3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</row>
    <row r="124" spans="1:18" x14ac:dyDescent="0.3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</row>
    <row r="125" spans="1:18" x14ac:dyDescent="0.3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</row>
    <row r="126" spans="1:18" x14ac:dyDescent="0.3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</row>
    <row r="127" spans="1:18" x14ac:dyDescent="0.3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</row>
    <row r="128" spans="1:18" x14ac:dyDescent="0.3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</row>
  </sheetData>
  <sheetProtection algorithmName="SHA-512" hashValue="2ynDRuo3xP353gv9EYvM9abBGr/Zpwmp0Hnf6+EMWvdlN27XhcReT1y7/cHXHSJ9eFKV4HzhkMVLZL4O6L8npw==" saltValue="txq6Z7clP1+6prB5ieZllA==" spinCount="100000" sheet="1" objects="1" scenarios="1"/>
  <mergeCells count="3">
    <mergeCell ref="B1:J5"/>
    <mergeCell ref="A8:E11"/>
    <mergeCell ref="G8:K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BA08-E0AF-40CD-B67B-1B48DED5C007}">
  <sheetPr codeName="Feuil3"/>
  <dimension ref="A1:V50"/>
  <sheetViews>
    <sheetView showGridLines="0" tabSelected="1" topLeftCell="A2" zoomScale="55" zoomScaleNormal="55" workbookViewId="0">
      <selection activeCell="P33" sqref="P33:Q33"/>
    </sheetView>
  </sheetViews>
  <sheetFormatPr baseColWidth="10" defaultColWidth="10.81640625" defaultRowHeight="14.5" x14ac:dyDescent="0.35"/>
  <cols>
    <col min="1" max="2" width="5.81640625" customWidth="1"/>
    <col min="3" max="5" width="15.81640625" customWidth="1"/>
    <col min="6" max="6" width="15.81640625" style="1" customWidth="1"/>
    <col min="7" max="15" width="15.81640625" customWidth="1"/>
    <col min="16" max="16" width="19.1796875" customWidth="1"/>
    <col min="17" max="18" width="15.81640625" customWidth="1"/>
    <col min="19" max="20" width="5.81640625" customWidth="1"/>
    <col min="21" max="21" width="10.81640625" customWidth="1"/>
  </cols>
  <sheetData>
    <row r="1" spans="2:22" x14ac:dyDescent="0.35">
      <c r="G1" s="1"/>
    </row>
    <row r="2" spans="2:22" ht="36" customHeight="1" x14ac:dyDescent="0.35">
      <c r="E2" s="30"/>
    </row>
    <row r="3" spans="2:22" ht="36" customHeight="1" x14ac:dyDescent="0.35">
      <c r="E3" s="30"/>
      <c r="F3" s="119" t="s">
        <v>38</v>
      </c>
      <c r="G3" s="119"/>
      <c r="H3" s="119"/>
      <c r="I3" s="119"/>
      <c r="J3" s="119"/>
      <c r="K3" s="119"/>
      <c r="L3" s="119"/>
      <c r="M3" s="119"/>
    </row>
    <row r="4" spans="2:22" ht="22.5" customHeight="1" x14ac:dyDescent="0.35">
      <c r="E4" s="30"/>
      <c r="F4" s="30"/>
      <c r="G4" s="123" t="s">
        <v>40</v>
      </c>
      <c r="H4" s="123"/>
      <c r="I4" s="123"/>
      <c r="J4" s="123"/>
      <c r="K4" s="123"/>
      <c r="L4" s="123"/>
      <c r="R4" s="59"/>
    </row>
    <row r="5" spans="2:22" ht="39" customHeight="1" x14ac:dyDescent="0.35">
      <c r="E5" s="30"/>
      <c r="F5" s="30"/>
      <c r="G5" s="30"/>
      <c r="H5" s="62" t="s">
        <v>42</v>
      </c>
      <c r="N5" s="77"/>
      <c r="O5" s="77"/>
      <c r="P5" s="77"/>
      <c r="Q5" s="77"/>
      <c r="R5" s="77"/>
      <c r="S5" s="77"/>
    </row>
    <row r="6" spans="2:22" ht="25" customHeight="1" x14ac:dyDescent="0.6">
      <c r="B6" s="3" t="s">
        <v>48</v>
      </c>
      <c r="C6" s="3"/>
      <c r="D6" s="3"/>
      <c r="E6" s="3"/>
      <c r="F6" s="4"/>
      <c r="G6" s="4"/>
      <c r="H6" s="5">
        <v>2350</v>
      </c>
      <c r="N6" s="10"/>
      <c r="O6" s="61"/>
      <c r="P6" s="61"/>
      <c r="Q6" s="61"/>
      <c r="R6" s="61"/>
      <c r="S6" s="77"/>
    </row>
    <row r="7" spans="2:22" ht="25.25" customHeight="1" x14ac:dyDescent="0.6">
      <c r="E7" s="1"/>
      <c r="F7"/>
      <c r="I7" s="6"/>
      <c r="J7" s="6"/>
      <c r="K7" s="6"/>
      <c r="L7" s="6"/>
      <c r="M7" s="6"/>
      <c r="N7" s="10"/>
      <c r="O7" s="61"/>
      <c r="P7" s="61"/>
      <c r="Q7" s="61"/>
      <c r="R7" s="61"/>
      <c r="S7" s="77"/>
      <c r="T7" s="40"/>
      <c r="U7" s="37"/>
      <c r="V7" s="37"/>
    </row>
    <row r="8" spans="2:22" ht="25.25" customHeight="1" x14ac:dyDescent="0.6">
      <c r="B8" s="3" t="s">
        <v>2</v>
      </c>
      <c r="C8" s="3"/>
      <c r="D8" s="3"/>
      <c r="E8" s="3"/>
      <c r="F8" s="4"/>
      <c r="G8" s="4"/>
      <c r="H8" s="7">
        <v>3</v>
      </c>
      <c r="I8" s="6"/>
      <c r="J8" s="6"/>
      <c r="K8" s="6"/>
      <c r="L8" s="6"/>
      <c r="M8" s="6"/>
      <c r="N8" s="10"/>
      <c r="O8" s="69"/>
      <c r="P8" s="79"/>
      <c r="Q8" s="61"/>
      <c r="R8" s="61"/>
      <c r="S8" s="77"/>
      <c r="T8" s="40"/>
      <c r="U8" s="37"/>
      <c r="V8" s="37"/>
    </row>
    <row r="9" spans="2:22" ht="25.25" customHeight="1" x14ac:dyDescent="0.45">
      <c r="E9" s="1"/>
      <c r="F9"/>
      <c r="I9" s="6"/>
      <c r="J9" s="6"/>
      <c r="K9" s="6"/>
      <c r="L9" s="6"/>
      <c r="M9" s="6"/>
      <c r="N9" s="10"/>
      <c r="O9" s="10"/>
      <c r="P9" s="78"/>
      <c r="Q9" s="10"/>
      <c r="R9" s="77"/>
      <c r="S9" s="77"/>
      <c r="T9" s="40"/>
      <c r="U9" s="37"/>
      <c r="V9" s="37"/>
    </row>
    <row r="10" spans="2:22" ht="25.25" customHeight="1" x14ac:dyDescent="0.5">
      <c r="B10" s="3" t="s">
        <v>3</v>
      </c>
      <c r="C10" s="3"/>
      <c r="D10" s="3"/>
      <c r="E10" s="3"/>
      <c r="F10" s="4"/>
      <c r="G10" s="4"/>
      <c r="H10" s="8" t="s">
        <v>18</v>
      </c>
      <c r="I10" s="6"/>
      <c r="J10" s="6"/>
      <c r="K10" s="6"/>
      <c r="L10" s="6"/>
      <c r="M10" s="6"/>
      <c r="N10" s="10"/>
      <c r="O10" s="10"/>
      <c r="P10" s="10"/>
      <c r="Q10" s="10"/>
      <c r="T10" s="40"/>
      <c r="U10" s="37"/>
      <c r="V10" s="37"/>
    </row>
    <row r="11" spans="2:22" ht="25.25" customHeight="1" x14ac:dyDescent="0.7">
      <c r="B11" s="3"/>
      <c r="C11" s="3"/>
      <c r="D11" s="3"/>
      <c r="E11" s="3"/>
      <c r="F11" s="4"/>
      <c r="G11" s="4"/>
      <c r="H11" s="58"/>
      <c r="I11" s="6"/>
      <c r="J11" s="6"/>
      <c r="K11" s="6"/>
      <c r="L11" s="6"/>
      <c r="M11" s="6"/>
      <c r="P11" s="80"/>
      <c r="T11" s="40"/>
      <c r="U11" s="37"/>
      <c r="V11" s="37"/>
    </row>
    <row r="12" spans="2:22" ht="21.5" customHeight="1" x14ac:dyDescent="0.6">
      <c r="G12" s="4"/>
      <c r="H12" s="58"/>
      <c r="I12" s="6"/>
      <c r="J12" s="6"/>
      <c r="O12" s="125"/>
      <c r="P12" s="126"/>
      <c r="Q12" s="127"/>
      <c r="R12" s="127"/>
      <c r="T12" s="40"/>
      <c r="U12" s="37"/>
      <c r="V12" s="37"/>
    </row>
    <row r="13" spans="2:22" ht="25" hidden="1" customHeight="1" x14ac:dyDescent="0.6">
      <c r="B13" s="61"/>
      <c r="C13" s="60"/>
      <c r="D13" s="60"/>
      <c r="E13" s="124"/>
      <c r="F13" s="124"/>
      <c r="G13" s="4"/>
      <c r="H13" s="58"/>
      <c r="I13" s="6"/>
      <c r="J13" s="6"/>
      <c r="K13" s="6"/>
      <c r="L13" s="6"/>
      <c r="M13" s="6"/>
      <c r="T13" s="40"/>
      <c r="U13" s="37"/>
      <c r="V13" s="37"/>
    </row>
    <row r="14" spans="2:22" ht="24.5" hidden="1" customHeight="1" x14ac:dyDescent="0.5">
      <c r="B14" s="3"/>
      <c r="C14" s="3"/>
      <c r="D14" s="3"/>
      <c r="E14" s="3"/>
      <c r="F14" s="4"/>
      <c r="G14" s="4"/>
      <c r="H14" s="6"/>
      <c r="I14" s="6"/>
      <c r="J14" s="16"/>
      <c r="L14" s="3"/>
      <c r="M14" s="3"/>
      <c r="N14" s="38"/>
      <c r="O14" s="38"/>
      <c r="P14" s="38"/>
      <c r="Q14" s="37"/>
      <c r="R14" s="37"/>
    </row>
    <row r="15" spans="2:22" ht="24.5" hidden="1" customHeight="1" x14ac:dyDescent="0.5">
      <c r="B15" s="41"/>
      <c r="C15" s="37"/>
      <c r="D15" s="38"/>
      <c r="E15" s="39"/>
      <c r="F15" s="38"/>
      <c r="G15" s="38"/>
      <c r="H15" s="38"/>
      <c r="I15" s="40"/>
      <c r="J15" s="37"/>
      <c r="K15" s="37"/>
      <c r="M15" s="39"/>
      <c r="N15" s="38"/>
      <c r="O15" s="38"/>
      <c r="P15" s="38"/>
      <c r="Q15" s="37"/>
      <c r="R15" s="37"/>
    </row>
    <row r="16" spans="2:22" ht="26" hidden="1" customHeight="1" x14ac:dyDescent="0.5">
      <c r="B16" s="42"/>
      <c r="C16" s="22"/>
      <c r="D16" s="23"/>
      <c r="E16" s="24"/>
      <c r="F16" s="23"/>
      <c r="G16" s="23"/>
      <c r="H16" s="23"/>
      <c r="I16" s="22"/>
      <c r="J16" s="22"/>
      <c r="K16" s="22"/>
      <c r="L16" s="22"/>
      <c r="M16" s="22"/>
    </row>
    <row r="17" spans="1:22" ht="26" hidden="1" customHeight="1" x14ac:dyDescent="0.5">
      <c r="B17" s="22"/>
      <c r="C17" s="23"/>
      <c r="D17" s="23"/>
      <c r="E17" s="24"/>
      <c r="F17" s="23"/>
      <c r="G17" s="23"/>
      <c r="H17" s="23"/>
      <c r="I17" s="22"/>
      <c r="J17" s="22"/>
      <c r="K17" s="22"/>
      <c r="L17" s="22"/>
      <c r="M17" s="22"/>
    </row>
    <row r="19" spans="1:22" ht="21" x14ac:dyDescent="0.5">
      <c r="B19" s="42" t="s">
        <v>5</v>
      </c>
      <c r="C19" s="22"/>
      <c r="D19" s="23"/>
      <c r="E19" s="24"/>
      <c r="F19" s="23"/>
      <c r="G19" s="23"/>
      <c r="H19" s="23"/>
      <c r="I19" s="22"/>
      <c r="J19" s="22"/>
      <c r="K19" s="22"/>
      <c r="L19" s="22"/>
      <c r="M19" s="22"/>
    </row>
    <row r="20" spans="1:22" ht="19" thickBot="1" x14ac:dyDescent="0.5">
      <c r="A20" s="6"/>
      <c r="B20" s="6"/>
      <c r="C20" s="10"/>
      <c r="D20" s="6"/>
      <c r="E20" s="6"/>
      <c r="F20" s="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2" ht="18.5" x14ac:dyDescent="0.45">
      <c r="B21" s="44"/>
      <c r="C21" s="12"/>
      <c r="D21" s="11"/>
      <c r="E21" s="12"/>
      <c r="F21" s="12"/>
      <c r="G21" s="13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4"/>
      <c r="T21" s="6"/>
      <c r="U21" s="6"/>
    </row>
    <row r="22" spans="1:22" ht="21" x14ac:dyDescent="0.5">
      <c r="B22" s="45"/>
      <c r="C22" s="110" t="s">
        <v>6</v>
      </c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35"/>
      <c r="R22" s="3"/>
      <c r="S22" s="15"/>
      <c r="T22" s="6"/>
      <c r="U22" s="6"/>
    </row>
    <row r="23" spans="1:22" ht="21" x14ac:dyDescent="0.5">
      <c r="B23" s="45"/>
      <c r="C23" s="110" t="s">
        <v>7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3"/>
      <c r="S23" s="47"/>
      <c r="T23" s="6"/>
    </row>
    <row r="24" spans="1:22" ht="21" x14ac:dyDescent="0.5">
      <c r="B24" s="45"/>
      <c r="C24" s="35" t="s">
        <v>8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"/>
      <c r="R24" s="3"/>
      <c r="S24" s="47"/>
      <c r="T24" s="6"/>
    </row>
    <row r="25" spans="1:22" ht="21" x14ac:dyDescent="0.5">
      <c r="B25" s="45"/>
      <c r="C25" s="16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11">
        <f>IF(H8="","",L41)</f>
        <v>352.5</v>
      </c>
      <c r="R25" s="111"/>
      <c r="S25" s="47"/>
      <c r="T25" s="6"/>
      <c r="U25" s="6"/>
      <c r="V25" s="6"/>
    </row>
    <row r="26" spans="1:22" ht="21" x14ac:dyDescent="0.5">
      <c r="B26" s="45"/>
      <c r="C26" s="16" t="s">
        <v>10</v>
      </c>
      <c r="D26" s="3"/>
      <c r="E26" s="3"/>
      <c r="G26" s="120">
        <f>IF(H8="","",F41)</f>
        <v>11.4</v>
      </c>
      <c r="H26" s="120"/>
      <c r="I26" s="3" t="s">
        <v>11</v>
      </c>
      <c r="J26" s="16"/>
      <c r="K26" s="3"/>
      <c r="N26" s="112">
        <f>IF(H8="","",L43)</f>
        <v>215.7</v>
      </c>
      <c r="O26" s="112"/>
      <c r="P26" s="43"/>
      <c r="Q26" s="3"/>
      <c r="S26" s="47"/>
      <c r="T26" s="6"/>
    </row>
    <row r="27" spans="1:22" ht="21" x14ac:dyDescent="0.5">
      <c r="B27" s="45"/>
      <c r="C27" s="16" t="s">
        <v>12</v>
      </c>
      <c r="D27" s="3"/>
      <c r="E27" s="3"/>
      <c r="F27" s="4"/>
      <c r="G27" s="3"/>
      <c r="I27" s="3"/>
      <c r="J27" s="3"/>
      <c r="K27" s="3"/>
      <c r="L27" s="3"/>
      <c r="M27" s="3"/>
      <c r="O27" s="3"/>
      <c r="Q27" s="3"/>
      <c r="R27" s="3"/>
      <c r="S27" s="47"/>
      <c r="T27" s="6"/>
    </row>
    <row r="28" spans="1:22" ht="21" x14ac:dyDescent="0.5">
      <c r="B28" s="45"/>
      <c r="C28" s="16"/>
      <c r="D28" s="3"/>
      <c r="E28" s="3"/>
      <c r="F28" s="4"/>
      <c r="G28" s="3"/>
      <c r="I28" s="3"/>
      <c r="J28" s="3"/>
      <c r="K28" s="3"/>
      <c r="L28" s="3"/>
      <c r="M28" s="3"/>
      <c r="O28" s="3"/>
      <c r="Q28" s="3"/>
      <c r="R28" s="3"/>
      <c r="S28" s="47"/>
      <c r="T28" s="6"/>
    </row>
    <row r="29" spans="1:22" ht="21" x14ac:dyDescent="0.5">
      <c r="B29" s="45"/>
      <c r="C29" s="63" t="s">
        <v>44</v>
      </c>
      <c r="D29" s="3"/>
      <c r="E29" s="3"/>
      <c r="F29" s="4"/>
      <c r="G29" s="3"/>
      <c r="I29" s="3"/>
      <c r="J29" s="3"/>
      <c r="K29" s="3"/>
      <c r="L29" s="3"/>
      <c r="M29" s="3"/>
      <c r="O29" s="3"/>
      <c r="Q29" s="3"/>
      <c r="R29" s="3"/>
      <c r="S29" s="47"/>
      <c r="T29" s="6"/>
    </row>
    <row r="30" spans="1:22" ht="21" x14ac:dyDescent="0.5">
      <c r="B30" s="45"/>
      <c r="C30" s="16" t="s">
        <v>43</v>
      </c>
      <c r="D30" s="16"/>
      <c r="E30" s="16"/>
      <c r="F30" s="16"/>
      <c r="G30" s="16"/>
      <c r="H30" s="16"/>
      <c r="I30" s="16"/>
      <c r="J30" s="16"/>
      <c r="K30" s="55"/>
      <c r="L30" s="112">
        <f>IF(H6="","",P33)</f>
        <v>176.25</v>
      </c>
      <c r="M30" s="112"/>
      <c r="N30" s="16" t="s">
        <v>35</v>
      </c>
      <c r="O30" s="16"/>
      <c r="P30" s="16"/>
      <c r="Q30" s="16"/>
      <c r="R30" s="16"/>
      <c r="S30" s="47"/>
      <c r="T30" s="6"/>
    </row>
    <row r="31" spans="1:22" ht="19" thickBot="1" x14ac:dyDescent="0.5">
      <c r="B31" s="46"/>
      <c r="C31" s="17"/>
      <c r="D31" s="17"/>
      <c r="E31" s="17"/>
      <c r="F31" s="17"/>
      <c r="G31" s="18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9"/>
      <c r="T31" s="6"/>
      <c r="U31" s="6"/>
    </row>
    <row r="32" spans="1:22" ht="19" thickBot="1" x14ac:dyDescent="0.5">
      <c r="C32" s="6"/>
      <c r="D32" s="6"/>
      <c r="E32" s="6"/>
      <c r="F32" s="6"/>
      <c r="G32" s="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2:21" ht="21.5" thickBot="1" x14ac:dyDescent="0.55000000000000004">
      <c r="E33" s="16" t="s">
        <v>33</v>
      </c>
      <c r="F33" s="16"/>
      <c r="G33" s="16"/>
      <c r="H33" s="3"/>
      <c r="I33" s="117">
        <f>IF(H8="","",H6/12)</f>
        <v>195.83333333333334</v>
      </c>
      <c r="J33" s="118"/>
      <c r="K33" s="6"/>
      <c r="L33" s="16" t="s">
        <v>34</v>
      </c>
      <c r="P33" s="117">
        <f>IF(H8="","",I33*0.9)</f>
        <v>176.25</v>
      </c>
      <c r="Q33" s="118"/>
      <c r="R33" s="6"/>
      <c r="S33" s="6"/>
      <c r="T33" s="6"/>
      <c r="U33" s="6"/>
    </row>
    <row r="34" spans="2:21" ht="18.5" x14ac:dyDescent="0.45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2:21" ht="21" x14ac:dyDescent="0.5"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6"/>
      <c r="U35" s="6"/>
    </row>
    <row r="36" spans="2:21" x14ac:dyDescent="0.35">
      <c r="J36" s="1"/>
    </row>
    <row r="37" spans="2:21" ht="17" customHeight="1" x14ac:dyDescent="0.35">
      <c r="J37" s="1"/>
    </row>
    <row r="38" spans="2:21" ht="21" x14ac:dyDescent="0.5">
      <c r="B38" s="42" t="s">
        <v>19</v>
      </c>
      <c r="C38" s="22"/>
      <c r="D38" s="23"/>
      <c r="E38" s="24"/>
      <c r="F38" s="23"/>
      <c r="G38" s="23"/>
      <c r="H38" s="23"/>
      <c r="I38" s="22"/>
      <c r="J38" s="22"/>
      <c r="K38" s="22"/>
      <c r="L38" s="22"/>
      <c r="M38" s="22"/>
    </row>
    <row r="39" spans="2:21" ht="21" x14ac:dyDescent="0.5">
      <c r="B39" s="42"/>
      <c r="C39" s="22"/>
      <c r="D39" s="23"/>
      <c r="E39" s="24"/>
      <c r="F39" s="23"/>
      <c r="G39" s="23"/>
      <c r="H39" s="23"/>
      <c r="I39" s="22"/>
      <c r="J39" s="22"/>
      <c r="K39" s="22"/>
      <c r="L39" s="22"/>
      <c r="M39" s="22"/>
    </row>
    <row r="40" spans="2:21" ht="15" hidden="1" thickBot="1" x14ac:dyDescent="0.4"/>
    <row r="41" spans="2:21" s="21" customFormat="1" ht="21" hidden="1" x14ac:dyDescent="0.5">
      <c r="C41" s="122" t="s">
        <v>16</v>
      </c>
      <c r="D41" s="122"/>
      <c r="E41" s="122"/>
      <c r="F41" s="20">
        <f>IF(H10="Oui",VLOOKUP(H8,Table,4,FALSE),VLOOKUP(H8,Table,2,FALSE))</f>
        <v>11.4</v>
      </c>
      <c r="H41" s="16" t="s">
        <v>13</v>
      </c>
      <c r="I41"/>
      <c r="J41"/>
      <c r="K41" s="3"/>
      <c r="L41" s="113">
        <f>IF(H8="","",H6*15%)</f>
        <v>352.5</v>
      </c>
      <c r="M41" s="114"/>
    </row>
    <row r="42" spans="2:21" s="21" customFormat="1" ht="21" hidden="1" x14ac:dyDescent="0.5">
      <c r="C42" s="34"/>
      <c r="D42" t="s">
        <v>17</v>
      </c>
      <c r="E42" s="34"/>
      <c r="H42" s="16" t="s">
        <v>14</v>
      </c>
      <c r="I42"/>
      <c r="J42"/>
      <c r="K42" s="3"/>
      <c r="L42" s="115">
        <f>IF(H8="","",IF(H10="oui",VLOOKUP(H8,Table,5,FALSE),VLOOKUP(H8,Table,3,FALSE)))</f>
        <v>136.80000000000001</v>
      </c>
      <c r="M42" s="116"/>
    </row>
    <row r="43" spans="2:21" s="21" customFormat="1" ht="21.5" hidden="1" thickBot="1" x14ac:dyDescent="0.55000000000000004">
      <c r="C43" s="34"/>
      <c r="D43" t="s">
        <v>4</v>
      </c>
      <c r="E43" s="34"/>
      <c r="H43" s="16" t="s">
        <v>15</v>
      </c>
      <c r="I43"/>
      <c r="J43"/>
      <c r="K43" s="3"/>
      <c r="L43" s="108">
        <f>IF(H8="","",L41-L42)</f>
        <v>215.7</v>
      </c>
      <c r="M43" s="109"/>
    </row>
    <row r="44" spans="2:21" s="21" customFormat="1" ht="18.5" hidden="1" x14ac:dyDescent="0.45">
      <c r="C44" s="34"/>
      <c r="D44" t="s">
        <v>18</v>
      </c>
      <c r="E44" s="34"/>
      <c r="J44"/>
    </row>
    <row r="45" spans="2:21" hidden="1" x14ac:dyDescent="0.35"/>
    <row r="46" spans="2:21" ht="18.5" hidden="1" x14ac:dyDescent="0.45">
      <c r="C46" s="22"/>
      <c r="D46" s="28"/>
      <c r="E46" s="28"/>
      <c r="F46" s="29"/>
      <c r="G46" s="28"/>
      <c r="H46" s="28"/>
      <c r="I46" s="28"/>
      <c r="J46" s="22"/>
      <c r="K46" s="22"/>
      <c r="L46" s="22"/>
      <c r="M46" s="22"/>
      <c r="N46" s="22"/>
    </row>
    <row r="47" spans="2:21" ht="21" x14ac:dyDescent="0.5">
      <c r="B47" s="36" t="s">
        <v>20</v>
      </c>
      <c r="C47" s="22"/>
      <c r="D47" s="25"/>
      <c r="E47" s="26"/>
      <c r="F47" s="25"/>
      <c r="G47" s="25"/>
      <c r="H47" s="25"/>
      <c r="I47" s="27"/>
      <c r="J47" s="22"/>
      <c r="K47" s="22"/>
      <c r="L47" s="22"/>
      <c r="M47" s="22"/>
    </row>
    <row r="48" spans="2:21" ht="21" x14ac:dyDescent="0.5">
      <c r="B48" s="36" t="s">
        <v>21</v>
      </c>
      <c r="C48" s="22"/>
      <c r="D48" s="25"/>
      <c r="E48" s="26"/>
      <c r="F48" s="25"/>
      <c r="G48" s="25"/>
      <c r="H48" s="25"/>
      <c r="I48" s="27"/>
      <c r="J48" s="22"/>
      <c r="K48" s="22"/>
      <c r="L48" s="22"/>
      <c r="M48" s="22"/>
    </row>
    <row r="49" spans="2:13" ht="21" x14ac:dyDescent="0.5">
      <c r="B49" s="35" t="s">
        <v>22</v>
      </c>
      <c r="C49" s="22"/>
      <c r="D49" s="23"/>
      <c r="E49" s="24"/>
      <c r="F49" s="23"/>
      <c r="G49" s="23"/>
      <c r="H49" s="23"/>
      <c r="I49" s="22"/>
      <c r="J49" s="22"/>
      <c r="K49" s="22"/>
      <c r="L49" s="22"/>
      <c r="M49" s="22"/>
    </row>
    <row r="50" spans="2:13" ht="21" x14ac:dyDescent="0.5">
      <c r="B50" s="35" t="s">
        <v>23</v>
      </c>
      <c r="C50" s="22"/>
      <c r="D50" s="23"/>
      <c r="E50" s="24"/>
      <c r="F50" s="23"/>
      <c r="G50" s="23"/>
      <c r="H50" s="23"/>
      <c r="I50" s="22"/>
      <c r="J50" s="22"/>
      <c r="K50" s="22"/>
      <c r="L50" s="22"/>
      <c r="M50" s="22"/>
    </row>
  </sheetData>
  <mergeCells count="18">
    <mergeCell ref="F3:M3"/>
    <mergeCell ref="G26:H26"/>
    <mergeCell ref="B35:S35"/>
    <mergeCell ref="C41:E41"/>
    <mergeCell ref="G4:L4"/>
    <mergeCell ref="E13:F13"/>
    <mergeCell ref="O12:P12"/>
    <mergeCell ref="Q12:R12"/>
    <mergeCell ref="L43:M43"/>
    <mergeCell ref="C22:P22"/>
    <mergeCell ref="Q25:R25"/>
    <mergeCell ref="N26:O26"/>
    <mergeCell ref="L41:M41"/>
    <mergeCell ref="L42:M42"/>
    <mergeCell ref="I33:J33"/>
    <mergeCell ref="P33:Q33"/>
    <mergeCell ref="L30:M30"/>
    <mergeCell ref="C23:Q23"/>
  </mergeCells>
  <conditionalFormatting sqref="L30:M30">
    <cfRule type="cellIs" dxfId="4" priority="1" operator="lessThan">
      <formula>0</formula>
    </cfRule>
  </conditionalFormatting>
  <conditionalFormatting sqref="L43:M43">
    <cfRule type="cellIs" dxfId="3" priority="4" operator="lessThan">
      <formula>0</formula>
    </cfRule>
  </conditionalFormatting>
  <conditionalFormatting sqref="N26:O26">
    <cfRule type="cellIs" dxfId="2" priority="3" operator="lessThan">
      <formula>0</formula>
    </cfRule>
  </conditionalFormatting>
  <dataValidations count="1">
    <dataValidation type="list" allowBlank="1" showInputMessage="1" showErrorMessage="1" sqref="H10:H13" xr:uid="{F87EBEE4-A84F-4AFE-88B1-D8F38A3C0A6D}">
      <formula1>$D$43:$D$44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1143-7A2B-49B4-B332-9B1B8F17118F}">
  <sheetPr codeName="Feuil4"/>
  <dimension ref="A2:V52"/>
  <sheetViews>
    <sheetView showGridLines="0" topLeftCell="A19" zoomScale="59" zoomScaleNormal="59" workbookViewId="0">
      <selection activeCell="I41" sqref="I41"/>
    </sheetView>
  </sheetViews>
  <sheetFormatPr baseColWidth="10" defaultColWidth="10.81640625" defaultRowHeight="14.5" x14ac:dyDescent="0.35"/>
  <cols>
    <col min="1" max="1" width="5.81640625" customWidth="1"/>
    <col min="2" max="2" width="5.1796875" customWidth="1"/>
    <col min="3" max="3" width="26" customWidth="1"/>
    <col min="4" max="4" width="20.81640625" customWidth="1"/>
    <col min="5" max="5" width="20.81640625" style="1" customWidth="1"/>
    <col min="6" max="6" width="19.453125" customWidth="1"/>
    <col min="7" max="9" width="20.81640625" customWidth="1"/>
    <col min="10" max="10" width="18" customWidth="1"/>
    <col min="11" max="11" width="13.90625" customWidth="1"/>
    <col min="12" max="12" width="20.81640625" customWidth="1"/>
    <col min="13" max="13" width="14.453125" customWidth="1"/>
    <col min="14" max="15" width="20.81640625" customWidth="1"/>
    <col min="16" max="16" width="5" customWidth="1"/>
    <col min="17" max="17" width="5.81640625" customWidth="1"/>
    <col min="18" max="18" width="15.81640625" customWidth="1"/>
    <col min="19" max="19" width="11.81640625" customWidth="1"/>
    <col min="20" max="20" width="10.81640625" customWidth="1"/>
  </cols>
  <sheetData>
    <row r="2" spans="2:17" ht="51.5" customHeight="1" x14ac:dyDescent="0.35">
      <c r="B2" s="30"/>
      <c r="C2" s="30"/>
      <c r="D2" s="30"/>
      <c r="E2" s="30"/>
      <c r="F2" s="119" t="s">
        <v>39</v>
      </c>
      <c r="G2" s="119"/>
      <c r="H2" s="119"/>
      <c r="I2" s="119"/>
      <c r="J2" s="119"/>
      <c r="K2" s="119"/>
      <c r="L2" s="119"/>
      <c r="M2" s="30"/>
      <c r="N2" s="30"/>
      <c r="O2" s="30"/>
      <c r="P2" s="30"/>
      <c r="Q2" s="30"/>
    </row>
    <row r="3" spans="2:17" ht="14.75" customHeight="1" x14ac:dyDescent="0.35">
      <c r="B3" s="30"/>
      <c r="C3" s="30"/>
      <c r="D3" s="30"/>
      <c r="E3" s="30"/>
      <c r="F3" s="30"/>
      <c r="G3" s="30"/>
      <c r="H3" s="123" t="s">
        <v>40</v>
      </c>
      <c r="I3" s="119"/>
      <c r="J3" s="119"/>
      <c r="K3" s="30"/>
      <c r="L3" s="30"/>
      <c r="M3" s="30"/>
      <c r="N3" s="30"/>
      <c r="O3" s="30"/>
      <c r="P3" s="30"/>
      <c r="Q3" s="30"/>
    </row>
    <row r="4" spans="2:17" ht="14.75" customHeight="1" x14ac:dyDescent="0.35">
      <c r="B4" s="30"/>
      <c r="C4" s="30"/>
      <c r="D4" s="30"/>
      <c r="E4" s="30"/>
      <c r="F4" s="30"/>
      <c r="G4" s="30"/>
      <c r="H4" s="123" t="s">
        <v>41</v>
      </c>
      <c r="I4" s="119"/>
      <c r="J4" s="119"/>
      <c r="K4" s="30"/>
      <c r="L4" s="30"/>
      <c r="M4" s="30"/>
      <c r="N4" s="30"/>
      <c r="O4" s="30"/>
      <c r="P4" s="30"/>
      <c r="Q4" s="30"/>
    </row>
    <row r="5" spans="2:17" ht="14.75" customHeight="1" x14ac:dyDescent="0.35">
      <c r="B5" s="30"/>
      <c r="C5" s="30"/>
      <c r="D5" s="30"/>
      <c r="E5" s="30"/>
      <c r="F5" s="30"/>
      <c r="G5" s="30"/>
      <c r="H5" s="57"/>
      <c r="I5" s="56"/>
      <c r="J5" s="56"/>
      <c r="K5" s="30"/>
      <c r="L5" s="30"/>
      <c r="M5" s="30"/>
      <c r="N5" s="30"/>
      <c r="O5" s="30"/>
      <c r="P5" s="30"/>
      <c r="Q5" s="30"/>
    </row>
    <row r="6" spans="2:17" ht="14.75" customHeight="1" x14ac:dyDescent="0.35">
      <c r="B6" s="30"/>
      <c r="C6" s="30"/>
      <c r="D6" s="30"/>
      <c r="E6" s="30"/>
      <c r="F6" s="30"/>
      <c r="G6" s="30"/>
      <c r="H6" s="57"/>
      <c r="I6" s="56"/>
      <c r="J6" s="56"/>
      <c r="K6" s="30"/>
      <c r="L6" s="30"/>
      <c r="M6" s="30"/>
      <c r="N6" s="30"/>
      <c r="O6" s="30"/>
      <c r="P6" s="30"/>
      <c r="Q6" s="30"/>
    </row>
    <row r="7" spans="2:17" ht="14.5" hidden="1" customHeight="1" x14ac:dyDescent="0.35">
      <c r="B7" s="30"/>
      <c r="C7" s="30"/>
      <c r="D7" s="30"/>
      <c r="E7" s="30"/>
      <c r="F7" s="30"/>
      <c r="G7" s="30"/>
      <c r="H7" s="57"/>
      <c r="I7" s="56"/>
      <c r="J7" s="56"/>
      <c r="K7" s="30"/>
      <c r="L7" s="30"/>
      <c r="M7" s="30"/>
      <c r="N7" s="30"/>
      <c r="O7" s="30"/>
      <c r="P7" s="30"/>
      <c r="Q7" s="30"/>
    </row>
    <row r="8" spans="2:17" ht="12" customHeight="1" x14ac:dyDescent="0.35">
      <c r="B8" s="30"/>
      <c r="C8" s="30"/>
      <c r="D8" s="30"/>
      <c r="E8" s="30"/>
      <c r="F8" s="30"/>
      <c r="G8" s="30"/>
      <c r="H8" s="57"/>
      <c r="I8" s="56"/>
      <c r="J8" s="56"/>
      <c r="K8" s="30"/>
      <c r="L8" s="81"/>
      <c r="M8" s="81"/>
      <c r="N8" s="81"/>
      <c r="O8" s="81"/>
      <c r="P8" s="30"/>
      <c r="Q8" s="30"/>
    </row>
    <row r="9" spans="2:17" ht="14.5" hidden="1" customHeight="1" x14ac:dyDescent="0.35">
      <c r="B9" s="30"/>
      <c r="C9" s="30"/>
      <c r="D9" s="30"/>
      <c r="E9" s="30"/>
      <c r="F9" s="30"/>
      <c r="G9" s="30"/>
      <c r="H9" s="57"/>
      <c r="I9" s="56"/>
      <c r="J9" s="56"/>
      <c r="K9" s="30"/>
      <c r="L9" s="81"/>
      <c r="M9" s="81"/>
      <c r="N9" s="81"/>
      <c r="O9" s="81"/>
      <c r="P9" s="30"/>
      <c r="Q9" s="30"/>
    </row>
    <row r="10" spans="2:17" ht="14.5" hidden="1" customHeight="1" x14ac:dyDescent="0.35">
      <c r="B10" s="30"/>
      <c r="C10" s="30"/>
      <c r="D10" s="30"/>
      <c r="E10" s="30"/>
      <c r="F10" s="30"/>
      <c r="G10" s="30"/>
      <c r="H10" s="57"/>
      <c r="I10" s="56"/>
      <c r="J10" s="56"/>
      <c r="K10" s="30"/>
      <c r="L10" s="81"/>
      <c r="M10" s="81"/>
      <c r="N10" s="81"/>
      <c r="O10" s="81"/>
      <c r="P10" s="30"/>
      <c r="Q10" s="30"/>
    </row>
    <row r="11" spans="2:17" ht="14.5" hidden="1" customHeight="1" x14ac:dyDescent="0.35">
      <c r="B11" s="30"/>
      <c r="C11" s="30"/>
      <c r="D11" s="30"/>
      <c r="E11" s="30"/>
      <c r="F11" s="30"/>
      <c r="G11" s="30"/>
      <c r="H11" s="57"/>
      <c r="I11" s="56"/>
      <c r="J11" s="56"/>
      <c r="K11" s="30"/>
      <c r="L11" s="81"/>
      <c r="M11" s="81"/>
      <c r="N11" s="81"/>
      <c r="O11" s="81"/>
      <c r="P11" s="30"/>
      <c r="Q11" s="30"/>
    </row>
    <row r="12" spans="2:17" ht="14.5" hidden="1" customHeight="1" x14ac:dyDescent="0.35">
      <c r="B12" s="30"/>
      <c r="C12" s="30"/>
      <c r="D12" s="30"/>
      <c r="E12" s="30"/>
      <c r="F12" s="30"/>
      <c r="G12" s="30"/>
      <c r="H12" s="57"/>
      <c r="I12" s="56"/>
      <c r="J12" s="56"/>
      <c r="K12" s="30"/>
      <c r="L12" s="81"/>
      <c r="M12" s="81"/>
      <c r="N12" s="81"/>
      <c r="O12" s="81"/>
      <c r="P12" s="30"/>
      <c r="Q12" s="30"/>
    </row>
    <row r="13" spans="2:17" ht="14.5" hidden="1" customHeight="1" x14ac:dyDescent="0.35">
      <c r="B13" s="30"/>
      <c r="C13" s="30"/>
      <c r="D13" s="30"/>
      <c r="E13" s="30"/>
      <c r="F13" s="30"/>
      <c r="G13" s="30"/>
      <c r="H13" s="57"/>
      <c r="I13" s="56"/>
      <c r="J13" s="56"/>
      <c r="K13" s="30"/>
      <c r="L13" s="81"/>
      <c r="M13" s="81"/>
      <c r="N13" s="81"/>
      <c r="O13" s="81"/>
      <c r="P13" s="30"/>
      <c r="Q13" s="30"/>
    </row>
    <row r="14" spans="2:17" ht="14.75" customHeight="1" x14ac:dyDescent="0.35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81"/>
      <c r="M14" s="81"/>
      <c r="N14" s="81"/>
      <c r="O14" s="81"/>
      <c r="P14" s="30"/>
      <c r="Q14" s="30"/>
    </row>
    <row r="15" spans="2:17" ht="14.75" customHeight="1" x14ac:dyDescent="0.3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130"/>
      <c r="M15" s="130"/>
      <c r="N15" s="130"/>
      <c r="O15" s="81"/>
      <c r="P15" s="30"/>
      <c r="Q15" s="30"/>
    </row>
    <row r="16" spans="2:17" ht="24.5" x14ac:dyDescent="0.35">
      <c r="L16" s="82"/>
      <c r="M16" s="83"/>
      <c r="N16" s="83"/>
      <c r="O16" s="83"/>
    </row>
    <row r="17" spans="1:20" ht="24.5" x14ac:dyDescent="0.35">
      <c r="L17" s="84"/>
      <c r="M17" s="84"/>
      <c r="N17" s="84"/>
      <c r="O17" s="83"/>
    </row>
    <row r="18" spans="1:20" ht="26" x14ac:dyDescent="0.6">
      <c r="B18" s="3" t="s">
        <v>50</v>
      </c>
      <c r="C18" s="3"/>
      <c r="D18" s="3"/>
      <c r="E18" s="3"/>
      <c r="F18" s="4"/>
      <c r="G18" s="5">
        <v>2000</v>
      </c>
      <c r="H18" s="125"/>
      <c r="I18" s="126"/>
      <c r="J18" s="127"/>
      <c r="K18" s="127"/>
      <c r="L18" s="85"/>
      <c r="M18" s="86"/>
      <c r="N18" s="61"/>
      <c r="O18" s="83"/>
    </row>
    <row r="19" spans="1:20" ht="26" x14ac:dyDescent="0.6">
      <c r="B19" s="3"/>
      <c r="C19" s="3"/>
      <c r="D19" s="3"/>
      <c r="E19" s="3"/>
      <c r="F19" s="70"/>
      <c r="G19" s="71"/>
      <c r="H19" s="72"/>
      <c r="I19" s="69"/>
      <c r="J19" s="79"/>
      <c r="K19" s="79"/>
      <c r="L19" s="83"/>
      <c r="M19" s="87"/>
      <c r="N19" s="83"/>
      <c r="O19" s="83"/>
    </row>
    <row r="20" spans="1:20" ht="26" x14ac:dyDescent="0.6">
      <c r="B20" s="3"/>
      <c r="C20" s="3"/>
      <c r="D20" s="3"/>
      <c r="E20" s="3"/>
      <c r="F20" s="70"/>
      <c r="G20" s="71"/>
      <c r="H20" s="72"/>
      <c r="I20" s="69"/>
      <c r="J20" s="79"/>
      <c r="K20" s="79"/>
      <c r="L20" s="83"/>
      <c r="M20" s="87"/>
      <c r="N20" s="83"/>
      <c r="O20" s="83"/>
    </row>
    <row r="21" spans="1:20" ht="26" x14ac:dyDescent="0.6">
      <c r="B21" s="128" t="s">
        <v>49</v>
      </c>
      <c r="C21" s="128"/>
      <c r="D21" s="128"/>
      <c r="E21" s="128"/>
      <c r="F21" s="74"/>
      <c r="G21" s="129">
        <v>3</v>
      </c>
      <c r="H21" s="72"/>
      <c r="I21" s="69"/>
      <c r="J21" s="79"/>
      <c r="K21" s="79"/>
      <c r="L21" s="125"/>
      <c r="M21" s="126"/>
      <c r="N21" s="127"/>
      <c r="O21" s="127"/>
    </row>
    <row r="22" spans="1:20" ht="26" x14ac:dyDescent="0.6">
      <c r="B22" s="16" t="s">
        <v>45</v>
      </c>
      <c r="C22" s="16"/>
      <c r="D22" s="16"/>
      <c r="E22" s="16"/>
      <c r="F22" s="70"/>
      <c r="G22" s="129"/>
      <c r="H22" s="72"/>
      <c r="I22" s="69"/>
      <c r="J22" s="79"/>
      <c r="K22" s="79"/>
      <c r="M22" s="6"/>
    </row>
    <row r="23" spans="1:20" ht="26" x14ac:dyDescent="0.6">
      <c r="B23" s="3"/>
      <c r="C23" s="3"/>
      <c r="D23" s="3"/>
      <c r="E23" s="3"/>
      <c r="F23" s="70"/>
      <c r="G23" s="71"/>
      <c r="H23" s="72"/>
      <c r="I23" s="69"/>
      <c r="J23" s="67"/>
    </row>
    <row r="24" spans="1:20" ht="41" customHeight="1" x14ac:dyDescent="0.5">
      <c r="B24" s="3"/>
      <c r="C24" s="3"/>
      <c r="D24" s="3"/>
      <c r="E24" s="4"/>
      <c r="F24" s="73"/>
      <c r="G24" s="73"/>
      <c r="H24" s="73"/>
      <c r="I24" s="6"/>
    </row>
    <row r="25" spans="1:20" ht="21" x14ac:dyDescent="0.5">
      <c r="A25" s="49" t="s">
        <v>5</v>
      </c>
      <c r="B25" s="6"/>
      <c r="C25" s="10"/>
      <c r="D25" s="6"/>
      <c r="E25" s="6"/>
      <c r="F25" s="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20" ht="19" thickBot="1" x14ac:dyDescent="0.5">
      <c r="B26" s="6"/>
      <c r="C26" s="10"/>
      <c r="D26" s="6"/>
      <c r="E26" s="6"/>
      <c r="F26" s="9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8.5" x14ac:dyDescent="0.45">
      <c r="B27" s="51"/>
      <c r="C27" s="11"/>
      <c r="D27" s="12"/>
      <c r="E27" s="12"/>
      <c r="F27" s="1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  <c r="R27" s="6"/>
      <c r="S27" s="6"/>
      <c r="T27" s="6"/>
    </row>
    <row r="28" spans="1:20" ht="21" x14ac:dyDescent="0.5">
      <c r="B28" s="52"/>
      <c r="C28" s="110" t="s">
        <v>24</v>
      </c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5"/>
      <c r="R28" s="6"/>
      <c r="S28" s="6"/>
      <c r="T28" s="6"/>
    </row>
    <row r="29" spans="1:20" ht="21" x14ac:dyDescent="0.5">
      <c r="B29" s="52"/>
      <c r="C29" s="132" t="s">
        <v>25</v>
      </c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48"/>
      <c r="R29" s="3"/>
      <c r="S29" s="6"/>
      <c r="T29" s="6"/>
    </row>
    <row r="30" spans="1:20" ht="21" x14ac:dyDescent="0.5">
      <c r="B30" s="52"/>
      <c r="C30" s="35" t="s">
        <v>26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48"/>
      <c r="R30" s="6"/>
      <c r="S30" s="6"/>
      <c r="T30" s="6"/>
    </row>
    <row r="31" spans="1:20" ht="21" x14ac:dyDescent="0.5">
      <c r="B31" s="52"/>
      <c r="C31" s="16" t="s">
        <v>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111">
        <f>IF(G18="","",G18*15%)</f>
        <v>300</v>
      </c>
      <c r="O31" s="111"/>
      <c r="P31" s="53"/>
      <c r="Q31" s="48"/>
      <c r="R31" s="6"/>
      <c r="S31" s="6"/>
      <c r="T31" s="6"/>
    </row>
    <row r="32" spans="1:20" ht="21" x14ac:dyDescent="0.5">
      <c r="B32" s="52"/>
      <c r="C32" s="16" t="s">
        <v>46</v>
      </c>
      <c r="D32" s="16"/>
      <c r="E32" s="16"/>
      <c r="F32" s="75">
        <f>9.9 + (G21*1.5)</f>
        <v>14.4</v>
      </c>
      <c r="G32" s="16" t="s">
        <v>47</v>
      </c>
      <c r="I32" s="3"/>
      <c r="J32" s="16"/>
      <c r="K32" s="16"/>
      <c r="L32" s="68">
        <f>IF(G18="","",((G18*15%)-F32*12))</f>
        <v>127.19999999999999</v>
      </c>
      <c r="M32" s="76"/>
      <c r="P32" s="43"/>
      <c r="Q32" s="15"/>
      <c r="S32" s="6"/>
      <c r="T32" s="6"/>
    </row>
    <row r="33" spans="1:22" ht="21" x14ac:dyDescent="0.5">
      <c r="B33" s="52"/>
      <c r="C33" s="16" t="s">
        <v>12</v>
      </c>
      <c r="D33" s="3"/>
      <c r="E33" s="3"/>
      <c r="F33" s="4"/>
      <c r="G33" s="3"/>
      <c r="I33" s="3"/>
      <c r="J33" s="3"/>
      <c r="K33" s="3"/>
      <c r="L33" s="3"/>
      <c r="M33" s="3"/>
      <c r="O33" s="3"/>
      <c r="Q33" s="15"/>
      <c r="S33" s="6"/>
      <c r="T33" s="6"/>
    </row>
    <row r="34" spans="1:22" ht="21" x14ac:dyDescent="0.5">
      <c r="B34" s="52"/>
      <c r="C34" s="16"/>
      <c r="D34" s="3"/>
      <c r="E34" s="3"/>
      <c r="F34" s="4"/>
      <c r="G34" s="3"/>
      <c r="I34" s="3"/>
      <c r="J34" s="3"/>
      <c r="K34" s="3"/>
      <c r="L34" s="3"/>
      <c r="M34" s="3"/>
      <c r="O34" s="3"/>
      <c r="Q34" s="15"/>
      <c r="S34" s="6"/>
      <c r="T34" s="6"/>
    </row>
    <row r="35" spans="1:22" ht="21" x14ac:dyDescent="0.5">
      <c r="B35" s="52"/>
      <c r="C35" s="16"/>
      <c r="D35" s="3"/>
      <c r="E35" s="3"/>
      <c r="F35" s="4"/>
      <c r="G35" s="3"/>
      <c r="I35" s="3"/>
      <c r="J35" s="3"/>
      <c r="K35" s="3"/>
      <c r="L35" s="3"/>
      <c r="M35" s="3"/>
      <c r="O35" s="3"/>
      <c r="Q35" s="15"/>
      <c r="S35" s="6"/>
      <c r="T35" s="6"/>
    </row>
    <row r="36" spans="1:22" ht="21" x14ac:dyDescent="0.5">
      <c r="B36" s="52"/>
      <c r="C36" s="63" t="s">
        <v>44</v>
      </c>
      <c r="D36" s="3"/>
      <c r="E36" s="3"/>
      <c r="F36" s="4"/>
      <c r="G36" s="3"/>
      <c r="I36" s="3"/>
      <c r="J36" s="3"/>
      <c r="K36" s="3"/>
      <c r="L36" s="3"/>
      <c r="M36" s="3"/>
      <c r="O36" s="3"/>
      <c r="Q36" s="15"/>
      <c r="S36" s="6"/>
      <c r="T36" s="6"/>
    </row>
    <row r="37" spans="1:22" ht="21" x14ac:dyDescent="0.5">
      <c r="B37" s="52"/>
      <c r="C37" s="16" t="s">
        <v>36</v>
      </c>
      <c r="D37" s="16"/>
      <c r="E37" s="16"/>
      <c r="F37" s="16"/>
      <c r="G37" s="16"/>
      <c r="H37" s="16"/>
      <c r="I37" s="16"/>
      <c r="J37" s="112">
        <f>IF(G18="","",N40)</f>
        <v>150</v>
      </c>
      <c r="K37" s="112"/>
      <c r="L37" s="16" t="s">
        <v>35</v>
      </c>
      <c r="M37" s="16"/>
      <c r="N37" s="16"/>
      <c r="O37" s="16"/>
      <c r="P37" s="16"/>
      <c r="Q37" s="15"/>
      <c r="S37" s="6"/>
      <c r="T37" s="6"/>
    </row>
    <row r="38" spans="1:22" ht="21.5" thickBot="1" x14ac:dyDescent="0.55000000000000004">
      <c r="B38" s="54"/>
      <c r="C38" s="17"/>
      <c r="D38" s="17"/>
      <c r="E38" s="17"/>
      <c r="F38" s="18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9"/>
      <c r="R38" s="3"/>
      <c r="S38" s="6"/>
      <c r="T38" s="6"/>
    </row>
    <row r="39" spans="1:22" ht="19" thickBot="1" x14ac:dyDescent="0.5">
      <c r="B39" s="6"/>
      <c r="C39" s="6"/>
      <c r="D39" s="6"/>
      <c r="E39" s="6"/>
      <c r="F39" s="9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2" ht="21.5" thickBot="1" x14ac:dyDescent="0.55000000000000004">
      <c r="C40" s="16" t="s">
        <v>33</v>
      </c>
      <c r="D40" s="3"/>
      <c r="E40" s="3"/>
      <c r="F40" s="117">
        <f>IF(G18="","",G18/12)</f>
        <v>166.66666666666666</v>
      </c>
      <c r="G40" s="118"/>
      <c r="H40" s="6"/>
      <c r="I40" s="6"/>
      <c r="J40" s="6"/>
      <c r="K40" s="16" t="s">
        <v>34</v>
      </c>
      <c r="L40" s="3"/>
      <c r="M40" s="3"/>
      <c r="N40" s="117">
        <f>IF(G18="","",F40*0.9)</f>
        <v>150</v>
      </c>
      <c r="O40" s="118"/>
      <c r="P40" s="6"/>
      <c r="Q40" s="6"/>
      <c r="R40" s="6"/>
      <c r="S40" s="6"/>
      <c r="T40" s="6"/>
      <c r="U40" s="6"/>
      <c r="V40" s="6"/>
    </row>
    <row r="41" spans="1:22" ht="21" x14ac:dyDescent="0.5">
      <c r="B41" s="16"/>
      <c r="C41" s="3"/>
      <c r="D41" s="3"/>
      <c r="E41" s="6"/>
      <c r="F41" s="6"/>
      <c r="G41" s="6"/>
      <c r="H41" s="6"/>
      <c r="I41" s="16"/>
      <c r="J41" s="3"/>
      <c r="K41" s="3"/>
      <c r="L41" s="6"/>
      <c r="M41" s="6"/>
      <c r="N41" s="6"/>
      <c r="O41" s="6"/>
      <c r="P41" s="6"/>
      <c r="Q41" s="6"/>
      <c r="R41" s="6"/>
      <c r="S41" s="6"/>
      <c r="T41" s="6"/>
    </row>
    <row r="42" spans="1:22" ht="21" x14ac:dyDescent="0.5"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</row>
    <row r="43" spans="1:22" ht="21" hidden="1" x14ac:dyDescent="0.5">
      <c r="B43" s="16" t="s">
        <v>13</v>
      </c>
      <c r="C43" s="3"/>
      <c r="D43" s="3"/>
      <c r="E43" s="112">
        <f>IF(G18="","",G18*15%)</f>
        <v>300</v>
      </c>
      <c r="F43" s="112"/>
      <c r="G43" s="112"/>
      <c r="H43" s="23"/>
      <c r="I43" s="22"/>
      <c r="J43" s="22"/>
      <c r="K43" s="22"/>
      <c r="L43" s="22"/>
      <c r="M43" s="22"/>
    </row>
    <row r="44" spans="1:22" ht="21" hidden="1" x14ac:dyDescent="0.5">
      <c r="B44" s="16" t="s">
        <v>14</v>
      </c>
      <c r="C44" s="3"/>
      <c r="D44" s="3"/>
      <c r="E44" s="131">
        <f>IF(G18="","",F32*12)</f>
        <v>172.8</v>
      </c>
      <c r="F44" s="131"/>
      <c r="G44" s="131"/>
      <c r="H44" s="28"/>
      <c r="I44" s="22"/>
      <c r="J44" s="22"/>
      <c r="K44" s="22"/>
      <c r="L44" s="22"/>
      <c r="M44" s="22"/>
    </row>
    <row r="45" spans="1:22" ht="21" hidden="1" x14ac:dyDescent="0.5">
      <c r="B45" s="16" t="s">
        <v>15</v>
      </c>
      <c r="C45" s="3"/>
      <c r="D45" s="3"/>
      <c r="E45" s="112">
        <f>IF(G18="","",E43-E44)</f>
        <v>127.19999999999999</v>
      </c>
      <c r="F45" s="112"/>
      <c r="G45" s="112"/>
    </row>
    <row r="47" spans="1:22" ht="21" x14ac:dyDescent="0.5">
      <c r="A47" s="49" t="s">
        <v>19</v>
      </c>
      <c r="B47" s="23"/>
      <c r="C47" s="23"/>
      <c r="D47" s="24"/>
      <c r="E47" s="23"/>
      <c r="F47" s="23"/>
      <c r="G47" s="23"/>
      <c r="H47" s="22"/>
      <c r="I47" s="22"/>
      <c r="J47" s="22"/>
    </row>
    <row r="48" spans="1:22" ht="21" x14ac:dyDescent="0.5">
      <c r="A48" s="22"/>
      <c r="B48" s="22"/>
      <c r="C48" s="25"/>
      <c r="D48" s="26"/>
      <c r="E48" s="25"/>
      <c r="F48" s="25"/>
      <c r="G48" s="25"/>
      <c r="H48" s="27"/>
      <c r="I48" s="22"/>
      <c r="J48" s="22"/>
    </row>
    <row r="49" spans="1:10" ht="21" x14ac:dyDescent="0.5">
      <c r="A49" s="23" t="s">
        <v>20</v>
      </c>
      <c r="B49" s="22"/>
      <c r="C49" s="25"/>
      <c r="D49" s="26"/>
      <c r="E49" s="25"/>
      <c r="F49" s="25"/>
      <c r="G49" s="25"/>
      <c r="H49" s="27"/>
      <c r="I49" s="22"/>
      <c r="J49" s="22"/>
    </row>
    <row r="50" spans="1:10" ht="21" x14ac:dyDescent="0.5">
      <c r="A50" s="23" t="s">
        <v>21</v>
      </c>
      <c r="B50" s="22"/>
      <c r="C50" s="23"/>
      <c r="D50" s="24"/>
      <c r="E50" s="23"/>
      <c r="F50" s="23"/>
      <c r="G50" s="23"/>
      <c r="H50" s="22"/>
      <c r="I50" s="22"/>
      <c r="J50" s="22"/>
    </row>
    <row r="51" spans="1:10" ht="21" x14ac:dyDescent="0.5">
      <c r="A51" s="50" t="s">
        <v>22</v>
      </c>
      <c r="B51" s="22"/>
      <c r="C51" s="23"/>
      <c r="D51" s="24"/>
      <c r="E51" s="23"/>
      <c r="F51" s="23"/>
      <c r="G51" s="23"/>
      <c r="H51" s="22"/>
      <c r="I51" s="22"/>
      <c r="J51" s="22"/>
    </row>
    <row r="52" spans="1:10" ht="21" x14ac:dyDescent="0.5">
      <c r="A52" s="50"/>
      <c r="B52" s="3"/>
      <c r="C52" s="3"/>
      <c r="D52" s="3"/>
      <c r="E52" s="4"/>
      <c r="F52" s="3"/>
      <c r="G52" s="6"/>
      <c r="H52" s="6"/>
      <c r="I52" s="6"/>
      <c r="J52" s="6"/>
    </row>
  </sheetData>
  <mergeCells count="20">
    <mergeCell ref="E44:G44"/>
    <mergeCell ref="E45:G45"/>
    <mergeCell ref="B42:Q42"/>
    <mergeCell ref="C28:P28"/>
    <mergeCell ref="C29:P29"/>
    <mergeCell ref="N31:O31"/>
    <mergeCell ref="J37:K37"/>
    <mergeCell ref="F40:G40"/>
    <mergeCell ref="N40:O40"/>
    <mergeCell ref="H18:I18"/>
    <mergeCell ref="J18:K18"/>
    <mergeCell ref="F2:L2"/>
    <mergeCell ref="H3:J3"/>
    <mergeCell ref="E43:G43"/>
    <mergeCell ref="H4:J4"/>
    <mergeCell ref="B21:E21"/>
    <mergeCell ref="G21:G22"/>
    <mergeCell ref="L15:N15"/>
    <mergeCell ref="L21:M21"/>
    <mergeCell ref="N21:O21"/>
  </mergeCells>
  <conditionalFormatting sqref="J37:K37">
    <cfRule type="cellIs" dxfId="1" priority="1" operator="lessThan">
      <formula>0</formula>
    </cfRule>
  </conditionalFormatting>
  <conditionalFormatting sqref="L32:M32 E45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Table</vt:lpstr>
      <vt:lpstr>ACCUEIL</vt:lpstr>
      <vt:lpstr>SOWEE</vt:lpstr>
      <vt:lpstr>ELEC</vt:lpstr>
      <vt:lpstr>GAZ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CADOT Delphine</dc:creator>
  <cp:keywords/>
  <dc:description/>
  <cp:lastModifiedBy>SALLABERRY Laure</cp:lastModifiedBy>
  <cp:revision/>
  <dcterms:created xsi:type="dcterms:W3CDTF">2025-01-03T13:27:23Z</dcterms:created>
  <dcterms:modified xsi:type="dcterms:W3CDTF">2026-08-05T11:49:48Z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2025-01-03T13:48:43Z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18f8efbf-8a4d-4066-94f4-5e0e29fb181f</vt:lpwstr>
  </property>
  <property fmtid="{D5CDD505-2E9C-101B-9397-08002B2CF9AE}" pid="8" name="MSIP_Label_2d26f538-337a-4593-a7e6-123667b1a538_ContentBits">
    <vt:lpwstr>0</vt:lpwstr>
  </property>
</Properties>
</file>